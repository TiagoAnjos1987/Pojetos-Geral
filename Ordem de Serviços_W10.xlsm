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rdem de Serviço\"/>
    </mc:Choice>
  </mc:AlternateContent>
  <workbookProtection workbookAlgorithmName="SHA-512" workbookHashValue="TrYOlsE/yEJwhBdRR0QImHc5CVBU8ICi3HLtKp8YzYj83Sb1yyVJG65ymYu/2IsBLaY0ZqbnRtH5mnqZAe1biw==" workbookSaltValue="FgpZt2+HtB5NcwJYggMvkQ==" workbookSpinCount="100000" lockStructure="1"/>
  <bookViews>
    <workbookView showHorizontalScroll="0" showVerticalScroll="0" showSheetTabs="0" xWindow="-120" yWindow="-120" windowWidth="21840" windowHeight="13140"/>
  </bookViews>
  <sheets>
    <sheet name="Ordem de serviços" sheetId="3" r:id="rId1"/>
    <sheet name="Buscar Nota" sheetId="5" state="hidden" r:id="rId2"/>
    <sheet name="Buscar Horas" sheetId="6" state="hidden" r:id="rId3"/>
    <sheet name="Buscar Histórico" sheetId="9" state="hidden" r:id="rId4"/>
  </sheets>
  <functionGroups builtInGroupCount="18"/>
  <definedNames>
    <definedName name="Login_SAP" localSheetId="0">'Ordem de serviços'!$AA$7:$AB$7</definedName>
    <definedName name="Senha_SAP">'Ordem de serviços'!$AA$8:$AB$8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9" i="9" l="1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11" i="9"/>
  <c r="S30" i="3" l="1"/>
  <c r="V11" i="3"/>
  <c r="U11" i="3"/>
  <c r="U10" i="3"/>
  <c r="S31" i="3"/>
  <c r="U55" i="3"/>
  <c r="T51" i="3"/>
  <c r="V49" i="3"/>
  <c r="U47" i="3"/>
  <c r="S52" i="3" s="1"/>
  <c r="T45" i="3"/>
  <c r="U43" i="3"/>
  <c r="T43" i="3"/>
  <c r="W41" i="3"/>
  <c r="S32" i="3"/>
  <c r="Y20" i="3"/>
  <c r="V19" i="3"/>
  <c r="V18" i="3"/>
  <c r="V17" i="3"/>
  <c r="V16" i="3"/>
  <c r="V15" i="3"/>
  <c r="V14" i="3"/>
  <c r="V13" i="3"/>
  <c r="V12" i="3"/>
  <c r="U12" i="3"/>
  <c r="V10" i="3"/>
  <c r="X6" i="3"/>
  <c r="S6" i="3"/>
  <c r="W4" i="3"/>
  <c r="V4" i="3"/>
  <c r="S4" i="3"/>
  <c r="W6" i="3" l="1"/>
  <c r="V6" i="3"/>
  <c r="U14" i="3"/>
  <c r="U13" i="3"/>
  <c r="X15" i="3"/>
  <c r="X14" i="3"/>
  <c r="X11" i="3"/>
  <c r="X13" i="3"/>
  <c r="X12" i="3"/>
  <c r="W43" i="3"/>
  <c r="X10" i="3"/>
  <c r="S43" i="3"/>
  <c r="S33" i="3"/>
  <c r="S34" i="3"/>
  <c r="S41" i="3"/>
  <c r="U48" i="3"/>
  <c r="U49" i="3" s="1"/>
  <c r="T54" i="3"/>
  <c r="T55" i="3" s="1"/>
  <c r="T2" i="3"/>
  <c r="U15" i="3" l="1"/>
  <c r="X16" i="3"/>
  <c r="U16" i="3" l="1"/>
  <c r="X17" i="3"/>
  <c r="U17" i="3" l="1"/>
  <c r="X18" i="3"/>
  <c r="U19" i="3" l="1"/>
  <c r="U18" i="3"/>
  <c r="X19" i="3"/>
  <c r="S20" i="3" a="1"/>
  <c r="S20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<sst xmlns="http://schemas.openxmlformats.org/spreadsheetml/2006/main" count="694" uniqueCount="243">
  <si>
    <t>Dados SAP</t>
  </si>
  <si>
    <t>Usuário :</t>
  </si>
  <si>
    <t>B00EBC</t>
  </si>
  <si>
    <t xml:space="preserve">Senha : </t>
  </si>
  <si>
    <t>Dados do Colaborador</t>
  </si>
  <si>
    <t>Data de Início</t>
  </si>
  <si>
    <t>Hora de Início</t>
  </si>
  <si>
    <t>Histórico do Serviço</t>
  </si>
  <si>
    <t>NÃO</t>
  </si>
  <si>
    <t>SIM</t>
  </si>
  <si>
    <t>PC01</t>
  </si>
  <si>
    <t>PC02</t>
  </si>
  <si>
    <t>PC03</t>
  </si>
  <si>
    <t>PC04</t>
  </si>
  <si>
    <t>PC05</t>
  </si>
  <si>
    <t>Data Final</t>
  </si>
  <si>
    <t>Hora Final</t>
  </si>
  <si>
    <t>CT. Trabalho</t>
  </si>
  <si>
    <t>Concluído?</t>
  </si>
  <si>
    <t>Selecione</t>
  </si>
  <si>
    <t xml:space="preserve">Efeito :  </t>
  </si>
  <si>
    <t xml:space="preserve">Causa:  </t>
  </si>
  <si>
    <t xml:space="preserve">Ação:  </t>
  </si>
  <si>
    <t>Disfunção de Parada</t>
  </si>
  <si>
    <t>Data do Término</t>
  </si>
  <si>
    <t>Hora do Término</t>
  </si>
  <si>
    <t>Para Gravar no SAP             Aperte o Símbolo Abaixo!</t>
  </si>
  <si>
    <t>Criado e Desenvolvido por:
TIAGO ANJOS</t>
  </si>
  <si>
    <t>B00ATM</t>
  </si>
  <si>
    <t>Dia / Mês / Ano</t>
  </si>
  <si>
    <t>Hora : Minutos : Segundos</t>
  </si>
  <si>
    <t>Hora : Min: Seg.</t>
  </si>
  <si>
    <t>Apenas Apontamento de Horas</t>
  </si>
  <si>
    <t/>
  </si>
  <si>
    <t>DADOS DE AVARIA</t>
  </si>
  <si>
    <t>Buscar</t>
  </si>
  <si>
    <t>Equipamento</t>
  </si>
  <si>
    <t>Descrição</t>
  </si>
  <si>
    <t>Centro T.</t>
  </si>
  <si>
    <t>Nota</t>
  </si>
  <si>
    <t>Ordem</t>
  </si>
  <si>
    <t>Centro Custo</t>
  </si>
  <si>
    <t>Data Nota</t>
  </si>
  <si>
    <t>Início Avaria</t>
  </si>
  <si>
    <t>Notificador</t>
  </si>
  <si>
    <t>Parada</t>
  </si>
  <si>
    <t>Criar
Nota de Avaria</t>
  </si>
  <si>
    <t>ORDEM DE SERVIÇO DE MANUTENÇÃO</t>
  </si>
  <si>
    <t>Lançar Histórico e Apontar Horas</t>
  </si>
  <si>
    <t>Apenas Lançamento de Histórico</t>
  </si>
  <si>
    <t xml:space="preserve"> </t>
  </si>
  <si>
    <t>Modificar
Nota de Avaria</t>
  </si>
  <si>
    <t>Número O.S.</t>
  </si>
  <si>
    <t>Liberado P/          Produção?</t>
  </si>
  <si>
    <t>Equipamento                Estava Parado?</t>
  </si>
  <si>
    <t>Nome Colaborador</t>
  </si>
  <si>
    <t>Numero RE</t>
  </si>
  <si>
    <t>Ordem Serviço</t>
  </si>
  <si>
    <t>Data Lançamento</t>
  </si>
  <si>
    <t>Data de Criação</t>
  </si>
  <si>
    <t>Data Inicial</t>
  </si>
  <si>
    <t>Hora Inicial</t>
  </si>
  <si>
    <t>Local de Instalação</t>
  </si>
  <si>
    <t xml:space="preserve"> Buscar Horas de Trabalho</t>
  </si>
  <si>
    <t>Total de Horas</t>
  </si>
  <si>
    <t>Coluna1</t>
  </si>
  <si>
    <t>Data 
Lançamento</t>
  </si>
  <si>
    <t>Data de 
Criação</t>
  </si>
  <si>
    <t>Total de 
Horas</t>
  </si>
  <si>
    <t>Ordem 
Serviço</t>
  </si>
  <si>
    <t>Dados da Nota de Avaria Para Essa Ordem de Serviço</t>
  </si>
  <si>
    <t>Histórico Lançado Para essa Ordem de Serviço</t>
  </si>
  <si>
    <t>Eduardo Borba Carvalho</t>
  </si>
  <si>
    <t>RE</t>
  </si>
  <si>
    <t>Nome</t>
  </si>
  <si>
    <t>TURNO</t>
  </si>
  <si>
    <t>Turno Atual</t>
  </si>
  <si>
    <t>Alcides Costa Francisco</t>
  </si>
  <si>
    <t>ADM</t>
  </si>
  <si>
    <t>Alexandre Theodoro Mostroto</t>
  </si>
  <si>
    <t>1 Turno</t>
  </si>
  <si>
    <t>Alexsandro Vitoriano da Silva</t>
  </si>
  <si>
    <t>Andre Ricardo Nogueira Coelho</t>
  </si>
  <si>
    <t>2 Turno</t>
  </si>
  <si>
    <t>Carlos Aguiar Silva</t>
  </si>
  <si>
    <t>Cassio Beletato Pineda</t>
  </si>
  <si>
    <t>Denis da Silva Conga</t>
  </si>
  <si>
    <t>Edimar Faustino Vieira</t>
  </si>
  <si>
    <t>Edson Bueno Rodrigues</t>
  </si>
  <si>
    <t>Edson Rodrigues Da Silva</t>
  </si>
  <si>
    <t>Eduardo Gutierrez Benito</t>
  </si>
  <si>
    <t>Eduardo Ribeiro Freitas</t>
  </si>
  <si>
    <t>Erasmo Bezerra Da Silva Filho</t>
  </si>
  <si>
    <t>3 Turno</t>
  </si>
  <si>
    <t>Evandro Tomaz Carvalho</t>
  </si>
  <si>
    <t>Fabiano Costa Dos Santos Vieira</t>
  </si>
  <si>
    <t>Flavio Pacifico Muniz</t>
  </si>
  <si>
    <t>Gerson Cristian Marques Da Silva</t>
  </si>
  <si>
    <t>Humberto Ramos Da Silva</t>
  </si>
  <si>
    <t>Humberto Rocha De Oliveira</t>
  </si>
  <si>
    <t>Ivo Dos Santos Goncalves</t>
  </si>
  <si>
    <t>Jair De Paiva Chaves</t>
  </si>
  <si>
    <t>Jaques Otone Moreira</t>
  </si>
  <si>
    <t>Joao Benevento Romero</t>
  </si>
  <si>
    <t>Jorge Goncalves Lins</t>
  </si>
  <si>
    <t>Jose Sandro Silva Santos</t>
  </si>
  <si>
    <t>Laedson Castanha De Oliveira Santos</t>
  </si>
  <si>
    <t>Leandro Miranda Monteiro</t>
  </si>
  <si>
    <t>Luciano Orico</t>
  </si>
  <si>
    <t>Luiz Roberto Kaltenbacher</t>
  </si>
  <si>
    <t>Marcelo Oliveira Santos</t>
  </si>
  <si>
    <t>Mauro Sergio Alves</t>
  </si>
  <si>
    <t>Moises Vitor Santos</t>
  </si>
  <si>
    <t>Osmar Pereira da Silva</t>
  </si>
  <si>
    <t>Raphael Santos Medeiros</t>
  </si>
  <si>
    <t>Ralph Schaden</t>
  </si>
  <si>
    <t>Reginaldo Alexandre Ferreira</t>
  </si>
  <si>
    <t>Robson Barbosa De Oliveira</t>
  </si>
  <si>
    <t>Robson De Sousa Vieira</t>
  </si>
  <si>
    <t>Rodrigo Donato Mendonca De Oliveira</t>
  </si>
  <si>
    <t>Rodrigo Barbosa Dib</t>
  </si>
  <si>
    <t>Rogerio Fernando Rodrigues</t>
  </si>
  <si>
    <t>Roque Ribeiro Leal</t>
  </si>
  <si>
    <t>Samuel Soares Vasconcelos</t>
  </si>
  <si>
    <t>Tiago Victor Dos Anjos</t>
  </si>
  <si>
    <t>Vagner De Souza</t>
  </si>
  <si>
    <t xml:space="preserve">Walter Ferreira Junior </t>
  </si>
  <si>
    <t>Antônio Izabel da Rocha Neto</t>
  </si>
  <si>
    <t>Carlos Antônio Gomes Quaresma</t>
  </si>
  <si>
    <t>Carlos Vinicius de Moura Araújo</t>
  </si>
  <si>
    <t>Fabio Luís Gomes Mingutti</t>
  </si>
  <si>
    <t>Júlio Carlos Dos Santos</t>
  </si>
  <si>
    <t>Luiz Santana Marçal</t>
  </si>
  <si>
    <t>Marco Antônio Ferreira Da Silva</t>
  </si>
  <si>
    <t xml:space="preserve">R.E.               </t>
  </si>
  <si>
    <t>Dados de Avaria, Parada Para essa Ordem de Serviço</t>
  </si>
  <si>
    <t>Data início</t>
  </si>
  <si>
    <t>Hora Início</t>
  </si>
  <si>
    <t>Total de Parada</t>
  </si>
  <si>
    <t>Tempo Parada</t>
  </si>
  <si>
    <t>H</t>
  </si>
  <si>
    <t>NAO</t>
  </si>
  <si>
    <t>Horas Lançadas Para Essa Ordem de Serviço</t>
  </si>
  <si>
    <t>Tiago Victor dos An</t>
  </si>
  <si>
    <t>RE: 502271 - Nome: Fabio Luís Gomes Mingutti</t>
  </si>
  <si>
    <t>RE: 501537 - Nome: Carlos Antônio Gomes Quaresma</t>
  </si>
  <si>
    <t>TIAGO</t>
  </si>
  <si>
    <t>Jun2023@a</t>
  </si>
  <si>
    <t>M03032</t>
  </si>
  <si>
    <t>Tiago Victor dos Anjos</t>
  </si>
  <si>
    <t>14.06.2023</t>
  </si>
  <si>
    <t>01.06.2023</t>
  </si>
  <si>
    <t>MAN-LU-BL01</t>
  </si>
  <si>
    <t>13.06.2023</t>
  </si>
  <si>
    <t>12.06.2023</t>
  </si>
  <si>
    <t>22.06.2023</t>
  </si>
  <si>
    <t>15.06.2023</t>
  </si>
  <si>
    <t>16.06.2023</t>
  </si>
  <si>
    <t>17.06.2023</t>
  </si>
  <si>
    <t>18.06.2023</t>
  </si>
  <si>
    <t>22.12.2022</t>
  </si>
  <si>
    <t>Instalar Camera Leitor OCR</t>
  </si>
  <si>
    <t>28.05.2023</t>
  </si>
  <si>
    <t>Luorival Fidelis Guimarães</t>
  </si>
  <si>
    <t>27.12.2022</t>
  </si>
  <si>
    <t>23.12.2022</t>
  </si>
  <si>
    <t>29.12.2022</t>
  </si>
  <si>
    <t>Eudes Barros Diniz</t>
  </si>
  <si>
    <t>28.12.2022</t>
  </si>
  <si>
    <t>16.01.2023</t>
  </si>
  <si>
    <t>01.01.2023</t>
  </si>
  <si>
    <t>03.01.2023</t>
  </si>
  <si>
    <t>Rafael de Lima Bonfim</t>
  </si>
  <si>
    <t>17.01.2023</t>
  </si>
  <si>
    <t>Robson de Souza Vieira</t>
  </si>
  <si>
    <t>04.01.2023</t>
  </si>
  <si>
    <t>05.01.2023</t>
  </si>
  <si>
    <t>06.01.2023</t>
  </si>
  <si>
    <t>08.01.2023</t>
  </si>
  <si>
    <t>09.01.2023</t>
  </si>
  <si>
    <t>11.01.2023</t>
  </si>
  <si>
    <t>13.01.2023</t>
  </si>
  <si>
    <t>27.01.2023</t>
  </si>
  <si>
    <t>19.01.2023</t>
  </si>
  <si>
    <t>20.01.2023</t>
  </si>
  <si>
    <t>22.01.2023</t>
  </si>
  <si>
    <t>23.01.2023</t>
  </si>
  <si>
    <t>24.01.2023</t>
  </si>
  <si>
    <t>25.01.2023</t>
  </si>
  <si>
    <t>28.02.2023</t>
  </si>
  <si>
    <t>01.02.2023</t>
  </si>
  <si>
    <t>02.02.2023</t>
  </si>
  <si>
    <t>03.02.2023</t>
  </si>
  <si>
    <t>05.02.2023</t>
  </si>
  <si>
    <t>06.02.2023</t>
  </si>
  <si>
    <t>07.02.2023</t>
  </si>
  <si>
    <t>08.02.2023</t>
  </si>
  <si>
    <t>09.02.2023</t>
  </si>
  <si>
    <t>22.05.2023</t>
  </si>
  <si>
    <t>20.05.2023</t>
  </si>
  <si>
    <t>23.05.2023</t>
  </si>
  <si>
    <t>ANDRE RICARDO NOGUEIRA COELHO</t>
  </si>
  <si>
    <t>24.05.2023</t>
  </si>
  <si>
    <t>25.05.2023</t>
  </si>
  <si>
    <t>26.05.2023</t>
  </si>
  <si>
    <t>30.05.2023</t>
  </si>
  <si>
    <t>29.05.2023</t>
  </si>
  <si>
    <t>29.12.2022 21:00:27 BRAZIL (B00EBC) Tel. 5511-3882-3547</t>
  </si>
  <si>
    <t>Efeito :  Instalar Camera Leitor OCR</t>
  </si>
  <si>
    <t>Causa:  Melhorias no Processo</t>
  </si>
  <si>
    <t>"Ação:  Efetuar levantamento de materiais necessários para instalação da nova câmera de leitura do OCR da peça na esteira de entrada</t>
  </si>
  <si>
    <t>da maquina de lavra M03032.</t>
  </si>
  <si>
    <t>Dimensionado e confeccionado suportes necessários."</t>
  </si>
  <si>
    <t>16.01.2023 19:26:23 BRAZIL (B00EBC) Tel. 5511-3882-3547</t>
  </si>
  <si>
    <t>Causa:  Melhorias processo</t>
  </si>
  <si>
    <t>Ação:  Efetuado instalação física da câmera e ligações e instalação elétrica pra funcionamento.</t>
  </si>
  <si>
    <t>16.01.2023 19:55:39 BRAZIL (B00EBC) Tel. 5511-3882-3547</t>
  </si>
  <si>
    <t>Causa:  Melhorias Processo</t>
  </si>
  <si>
    <t xml:space="preserve">"Ação:  Efetuado Alteração e implementação no PLC da M03032 e ajuste e configurações na câmera para leitura do OCR, Alinhamento da </t>
  </si>
  <si>
    <t>câmera para melhor iluminação.</t>
  </si>
  <si>
    <t>Ajustado e implementado o SOPRO pneumático para limpeza do OCR antes da leitura."</t>
  </si>
  <si>
    <t>27.01.2023 17:45:57 BRAZIL (B00EBC) Tel. 5511-3882-3547</t>
  </si>
  <si>
    <t>Efeito :  Instalar Câmera para Leitura do OCR e aquisição de dados para o MÊS</t>
  </si>
  <si>
    <t>Causa:  Melhorias no processo</t>
  </si>
  <si>
    <t>"Ação:  Efetuado testes e ajuste na câmera para leitura do dados do OCR.</t>
  </si>
  <si>
    <t>Efetuado alterações no FC288 do Portal 03 para implementação e leitura do OCR com a câmera nova.</t>
  </si>
  <si>
    <t>Efetuado alterações no FC/Db146 do PLC da maquina M03232 para implementação e aquisição dos dados no MES.</t>
  </si>
  <si>
    <t>Efetua do teste de carregamento de dados da Peça com o OCR 190123D63622909 no dia 22/01/23 dados carregado no MES com Sucesso. OCR´s</t>
  </si>
  <si>
    <t>240123D94926505, 240123D95226505, 240123D95526505 e 130123D22926505 no dia 25/01/23 dados carregados com sucesso na Maquina.</t>
  </si>
  <si>
    <t>Efetuado testes durante a acompanhamento de produção para verificar estabilidade de funcionamento do sistema."</t>
  </si>
  <si>
    <t>28.05.2023 19:18:35 BRAZIL (B00EBC) Tel. 5511-3882-3547</t>
  </si>
  <si>
    <t>Causa:  Instalar Camera Leitor OCR</t>
  </si>
  <si>
    <t>"Ação:  Efetuado testes durante a produção, e colocado câmera em execução.</t>
  </si>
  <si>
    <t>Junto a Empresa SPI foi adicionado tela de rastreabilidade da OP210.</t>
  </si>
  <si>
    <t>Efetuado Vários testes todos OK."</t>
  </si>
  <si>
    <t>29.06.2023 23:00:57 BRAZIL (B00TVA)</t>
  </si>
  <si>
    <t>Integrar Controladores ao Supervisório</t>
  </si>
  <si>
    <t>553</t>
  </si>
  <si>
    <t>M00553</t>
  </si>
  <si>
    <t>SUBSTITUIR PLACA ACIONAMENTO EIXO X9</t>
  </si>
  <si>
    <t>26.06.2023</t>
  </si>
  <si>
    <t>RODRIGO 4151</t>
  </si>
  <si>
    <t>B00lco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</si>
</sst>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h:mm;@"/>
    <numFmt numFmtId="165" formatCode="[$-F400]h:mm:ss\ AM/PM"/>
    <numFmt numFmtId="166" formatCode="000000"/>
    <numFmt numFmtId="167" formatCode="General_)"/>
    <numFmt numFmtId="168" formatCode="\ [h]:mm:ss;\ 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b/>
      <sz val="11"/>
      <color rgb="FF0070C0"/>
      <name val="Arial"/>
      <family val="2"/>
    </font>
    <font>
      <sz val="12"/>
      <color rgb="FF202124"/>
      <name val="Arial"/>
      <family val="2"/>
    </font>
    <font>
      <b/>
      <sz val="11"/>
      <color theme="4" tint="-0.249977111117893"/>
      <name val="Arial"/>
      <family val="2"/>
    </font>
    <font>
      <b/>
      <sz val="11"/>
      <color rgb="FF7030A0"/>
      <name val="Arial"/>
      <family val="2"/>
    </font>
    <font>
      <b/>
      <sz val="11"/>
      <color rgb="FF00B0F0"/>
      <name val="Arial"/>
      <family val="2"/>
    </font>
    <font>
      <b/>
      <sz val="11"/>
      <color theme="9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b/>
      <sz val="13"/>
      <color rgb="FF00B0F0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</font>
    <font>
      <sz val="9"/>
      <name val="Verdana"/>
      <family val="2"/>
    </font>
    <font>
      <sz val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79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0" fontId="18" fillId="0" borderId="0"/>
    <xf numFmtId="0" fontId="21" fillId="0" borderId="0"/>
  </cellStyleXfs>
  <cellXfs count="235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0" xfId="0" applyFont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4" fontId="8" fillId="0" borderId="35" xfId="0" applyNumberFormat="1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4" fontId="1" fillId="0" borderId="0" xfId="0" applyNumberFormat="1" applyFont="1" applyAlignment="1" applyProtection="1">
      <alignment horizontal="center" vertical="center"/>
      <protection locked="0"/>
    </xf>
    <xf numFmtId="165" fontId="1" fillId="0" borderId="0" xfId="0" applyNumberFormat="1" applyFont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left" vertical="top"/>
      <protection locked="0"/>
    </xf>
    <xf numFmtId="0" fontId="1" fillId="0" borderId="0" xfId="0" applyFont="1" applyAlignment="1" applyProtection="1">
      <alignment horizontal="left" vertical="top"/>
      <protection locked="0"/>
    </xf>
    <xf numFmtId="49" fontId="1" fillId="0" borderId="0" xfId="0" applyNumberFormat="1" applyFont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0" fillId="3" borderId="0" xfId="0" applyFill="1" applyAlignment="1">
      <alignment vertical="center"/>
    </xf>
    <xf numFmtId="165" fontId="0" fillId="3" borderId="0" xfId="0" applyNumberFormat="1" applyFill="1" applyAlignment="1">
      <alignment vertical="center"/>
    </xf>
    <xf numFmtId="0" fontId="12" fillId="0" borderId="0" xfId="1" quotePrefix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4" fontId="1" fillId="0" borderId="0" xfId="0" applyNumberFormat="1" applyFont="1" applyAlignment="1">
      <alignment horizontal="center" vertical="center"/>
    </xf>
    <xf numFmtId="14" fontId="5" fillId="0" borderId="0" xfId="0" applyNumberFormat="1" applyFont="1" applyProtection="1">
      <protection locked="0"/>
    </xf>
    <xf numFmtId="0" fontId="1" fillId="0" borderId="69" xfId="0" applyFont="1" applyBorder="1" applyAlignment="1">
      <alignment horizontal="center" vertical="center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4" fontId="1" fillId="0" borderId="0" xfId="0" applyNumberFormat="1" applyFont="1" applyAlignment="1" applyProtection="1">
      <alignment vertical="top" wrapText="1"/>
      <protection locked="0"/>
    </xf>
    <xf numFmtId="1" fontId="1" fillId="0" borderId="0" xfId="0" applyNumberFormat="1" applyFont="1" applyAlignment="1" applyProtection="1">
      <alignment horizontal="center" vertical="center"/>
      <protection locked="0"/>
    </xf>
    <xf numFmtId="2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1" fillId="0" borderId="0" xfId="0" quotePrefix="1" applyFont="1" applyAlignment="1" applyProtection="1">
      <alignment horizontal="left" vertical="top" wrapText="1"/>
      <protection locked="0"/>
    </xf>
    <xf numFmtId="0" fontId="1" fillId="0" borderId="0" xfId="0" quotePrefix="1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/>
    </xf>
    <xf numFmtId="0" fontId="19" fillId="5" borderId="76" xfId="2" applyFont="1" applyFill="1" applyBorder="1" applyAlignment="1">
      <alignment vertical="center"/>
    </xf>
    <xf numFmtId="1" fontId="19" fillId="5" borderId="76" xfId="2" applyNumberFormat="1" applyFont="1" applyFill="1" applyBorder="1" applyAlignment="1">
      <alignment horizontal="center" vertical="center"/>
    </xf>
    <xf numFmtId="166" fontId="20" fillId="6" borderId="77" xfId="0" applyNumberFormat="1" applyFont="1" applyFill="1" applyBorder="1" applyAlignment="1">
      <alignment horizontal="center" vertical="center"/>
    </xf>
    <xf numFmtId="167" fontId="22" fillId="7" borderId="78" xfId="3" applyNumberFormat="1" applyFont="1" applyFill="1" applyBorder="1" applyAlignment="1">
      <alignment horizontal="left"/>
    </xf>
    <xf numFmtId="0" fontId="23" fillId="7" borderId="78" xfId="0" applyFont="1" applyFill="1" applyBorder="1" applyAlignment="1">
      <alignment horizontal="center"/>
    </xf>
    <xf numFmtId="0" fontId="23" fillId="7" borderId="78" xfId="0" applyFont="1" applyFill="1" applyBorder="1" applyAlignment="1">
      <alignment horizontal="center" vertical="center"/>
    </xf>
    <xf numFmtId="166" fontId="20" fillId="6" borderId="78" xfId="0" applyNumberFormat="1" applyFont="1" applyFill="1" applyBorder="1" applyAlignment="1">
      <alignment horizontal="center" vertical="center"/>
    </xf>
    <xf numFmtId="167" fontId="22" fillId="8" borderId="78" xfId="3" applyNumberFormat="1" applyFont="1" applyFill="1" applyBorder="1" applyAlignment="1">
      <alignment horizontal="left"/>
    </xf>
    <xf numFmtId="0" fontId="23" fillId="9" borderId="78" xfId="0" applyFont="1" applyFill="1" applyBorder="1" applyAlignment="1">
      <alignment horizontal="center"/>
    </xf>
    <xf numFmtId="0" fontId="23" fillId="9" borderId="78" xfId="0" applyFont="1" applyFill="1" applyBorder="1" applyAlignment="1">
      <alignment horizontal="center" vertical="center"/>
    </xf>
    <xf numFmtId="166" fontId="20" fillId="10" borderId="78" xfId="0" applyNumberFormat="1" applyFont="1" applyFill="1" applyBorder="1" applyAlignment="1">
      <alignment horizontal="center" vertical="center"/>
    </xf>
    <xf numFmtId="0" fontId="23" fillId="9" borderId="0" xfId="0" applyFont="1" applyFill="1" applyAlignment="1">
      <alignment horizontal="center"/>
    </xf>
    <xf numFmtId="0" fontId="23" fillId="9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165" fontId="0" fillId="0" borderId="0" xfId="0" applyNumberForma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6" fillId="3" borderId="0" xfId="0" applyFont="1" applyFill="1" applyAlignment="1">
      <alignment horizontal="left" vertical="center" wrapText="1"/>
    </xf>
    <xf numFmtId="0" fontId="15" fillId="4" borderId="74" xfId="0" applyFont="1" applyFill="1" applyBorder="1" applyAlignment="1">
      <alignment horizontal="left" vertical="center" wrapText="1"/>
    </xf>
    <xf numFmtId="0" fontId="15" fillId="4" borderId="73" xfId="0" applyFont="1" applyFill="1" applyBorder="1" applyAlignment="1">
      <alignment horizontal="left" vertical="center" wrapText="1"/>
    </xf>
    <xf numFmtId="21" fontId="0" fillId="0" borderId="0" xfId="0" applyNumberFormat="1" applyAlignment="1">
      <alignment horizontal="left" vertical="center" wrapText="1"/>
    </xf>
    <xf numFmtId="165" fontId="0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65" fontId="0" fillId="0" borderId="0" xfId="0" applyNumberFormat="1" applyFont="1" applyAlignment="1">
      <alignment horizontal="left" vertical="center" wrapText="1"/>
    </xf>
    <xf numFmtId="168" fontId="0" fillId="0" borderId="0" xfId="0" applyNumberFormat="1" applyFont="1" applyAlignment="1">
      <alignment horizontal="left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14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/>
      <protection locked="0"/>
    </xf>
    <xf numFmtId="0" fontId="14" fillId="0" borderId="20" xfId="0" applyFont="1" applyBorder="1" applyAlignment="1" applyProtection="1">
      <alignment horizontal="center" vertical="center"/>
      <protection locked="0"/>
    </xf>
    <xf numFmtId="14" fontId="10" fillId="0" borderId="15" xfId="0" applyNumberFormat="1" applyFont="1" applyBorder="1" applyAlignment="1">
      <alignment horizontal="center" vertical="center" wrapText="1"/>
    </xf>
    <xf numFmtId="14" fontId="10" fillId="0" borderId="16" xfId="0" applyNumberFormat="1" applyFont="1" applyBorder="1" applyAlignment="1">
      <alignment horizontal="center" vertical="center" wrapText="1"/>
    </xf>
    <xf numFmtId="14" fontId="10" fillId="0" borderId="17" xfId="0" applyNumberFormat="1" applyFont="1" applyBorder="1" applyAlignment="1">
      <alignment horizontal="center" vertical="center" wrapText="1"/>
    </xf>
    <xf numFmtId="14" fontId="10" fillId="0" borderId="9" xfId="0" applyNumberFormat="1" applyFont="1" applyBorder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4" fontId="10" fillId="0" borderId="10" xfId="0" applyNumberFormat="1" applyFont="1" applyBorder="1" applyAlignment="1">
      <alignment horizontal="center" vertical="center" wrapText="1"/>
    </xf>
    <xf numFmtId="14" fontId="10" fillId="0" borderId="53" xfId="0" applyNumberFormat="1" applyFont="1" applyBorder="1" applyAlignment="1">
      <alignment horizontal="center" vertical="center" wrapText="1"/>
    </xf>
    <xf numFmtId="14" fontId="10" fillId="0" borderId="55" xfId="0" applyNumberFormat="1" applyFont="1" applyBorder="1" applyAlignment="1">
      <alignment horizontal="center" vertical="center" wrapText="1"/>
    </xf>
    <xf numFmtId="14" fontId="10" fillId="0" borderId="54" xfId="0" applyNumberFormat="1" applyFont="1" applyBorder="1" applyAlignment="1">
      <alignment horizontal="center" vertical="center" wrapText="1"/>
    </xf>
    <xf numFmtId="0" fontId="1" fillId="0" borderId="51" xfId="0" applyFont="1" applyBorder="1" applyAlignment="1" applyProtection="1">
      <alignment horizontal="center" vertical="center"/>
      <protection locked="0"/>
    </xf>
    <xf numFmtId="0" fontId="1" fillId="0" borderId="52" xfId="0" applyFont="1" applyBorder="1" applyAlignment="1" applyProtection="1">
      <alignment horizontal="center" vertical="center"/>
      <protection locked="0"/>
    </xf>
    <xf numFmtId="0" fontId="1" fillId="0" borderId="50" xfId="0" applyFont="1" applyBorder="1" applyAlignment="1" applyProtection="1">
      <alignment horizontal="center" vertical="center"/>
      <protection locked="0"/>
    </xf>
    <xf numFmtId="14" fontId="8" fillId="0" borderId="72" xfId="0" applyNumberFormat="1" applyFont="1" applyBorder="1" applyAlignment="1" applyProtection="1">
      <alignment horizontal="center" vertical="center"/>
      <protection locked="0"/>
    </xf>
    <xf numFmtId="165" fontId="7" fillId="0" borderId="72" xfId="0" applyNumberFormat="1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65" fontId="7" fillId="0" borderId="28" xfId="0" applyNumberFormat="1" applyFont="1" applyBorder="1" applyAlignment="1" applyProtection="1">
      <alignment horizontal="center" vertical="center"/>
      <protection locked="0"/>
    </xf>
    <xf numFmtId="165" fontId="7" fillId="0" borderId="26" xfId="0" applyNumberFormat="1" applyFont="1" applyBorder="1" applyAlignment="1" applyProtection="1">
      <alignment horizontal="center" vertical="center"/>
      <protection locked="0"/>
    </xf>
    <xf numFmtId="14" fontId="8" fillId="0" borderId="68" xfId="0" applyNumberFormat="1" applyFont="1" applyBorder="1" applyAlignment="1" applyProtection="1">
      <alignment horizontal="center" vertical="center"/>
      <protection locked="0"/>
    </xf>
    <xf numFmtId="14" fontId="8" fillId="0" borderId="63" xfId="0" applyNumberFormat="1" applyFont="1" applyBorder="1" applyAlignment="1" applyProtection="1">
      <alignment horizontal="center" vertical="center"/>
      <protection locked="0"/>
    </xf>
    <xf numFmtId="14" fontId="8" fillId="0" borderId="66" xfId="0" applyNumberFormat="1" applyFont="1" applyBorder="1" applyAlignment="1" applyProtection="1">
      <alignment horizontal="center" vertical="center"/>
      <protection locked="0"/>
    </xf>
    <xf numFmtId="14" fontId="8" fillId="0" borderId="67" xfId="0" applyNumberFormat="1" applyFont="1" applyBorder="1" applyAlignment="1" applyProtection="1">
      <alignment horizontal="center" vertical="center"/>
      <protection locked="0"/>
    </xf>
    <xf numFmtId="0" fontId="1" fillId="0" borderId="63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165" fontId="7" fillId="0" borderId="65" xfId="0" applyNumberFormat="1" applyFont="1" applyBorder="1" applyAlignment="1" applyProtection="1">
      <alignment horizontal="center" vertical="center"/>
      <protection locked="0"/>
    </xf>
    <xf numFmtId="165" fontId="7" fillId="0" borderId="27" xfId="0" applyNumberFormat="1" applyFont="1" applyBorder="1" applyAlignment="1" applyProtection="1">
      <alignment horizontal="center" vertical="center"/>
      <protection locked="0"/>
    </xf>
    <xf numFmtId="14" fontId="8" fillId="0" borderId="75" xfId="0" applyNumberFormat="1" applyFont="1" applyBorder="1" applyAlignment="1" applyProtection="1">
      <alignment horizontal="center" vertical="center"/>
      <protection locked="0"/>
    </xf>
    <xf numFmtId="14" fontId="8" fillId="0" borderId="64" xfId="0" applyNumberFormat="1" applyFont="1" applyBorder="1" applyAlignment="1" applyProtection="1">
      <alignment horizontal="center" vertical="center"/>
      <protection locked="0"/>
    </xf>
    <xf numFmtId="0" fontId="1" fillId="0" borderId="64" xfId="0" applyFont="1" applyBorder="1" applyAlignment="1" applyProtection="1">
      <alignment horizontal="center" vertical="center"/>
      <protection locked="0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65" xfId="0" applyFont="1" applyBorder="1" applyAlignment="1" applyProtection="1">
      <alignment horizontal="center" vertical="center"/>
      <protection locked="0"/>
    </xf>
    <xf numFmtId="0" fontId="1" fillId="0" borderId="27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12" fillId="0" borderId="70" xfId="1" applyFill="1" applyBorder="1" applyAlignment="1">
      <alignment horizontal="center" vertical="center" wrapText="1"/>
    </xf>
    <xf numFmtId="0" fontId="12" fillId="0" borderId="71" xfId="1" applyFill="1" applyBorder="1" applyAlignment="1">
      <alignment horizontal="center" vertical="center" wrapText="1"/>
    </xf>
    <xf numFmtId="0" fontId="12" fillId="0" borderId="70" xfId="1" quotePrefix="1" applyBorder="1" applyAlignment="1" applyProtection="1">
      <alignment horizontal="center" vertical="center" wrapText="1"/>
    </xf>
    <xf numFmtId="0" fontId="12" fillId="0" borderId="71" xfId="1" applyBorder="1" applyAlignment="1" applyProtection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12" fillId="0" borderId="75" xfId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" fillId="0" borderId="28" xfId="0" applyFont="1" applyBorder="1" applyAlignment="1" applyProtection="1">
      <alignment horizontal="center" vertical="center"/>
      <protection locked="0"/>
    </xf>
    <xf numFmtId="0" fontId="2" fillId="0" borderId="61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62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1" fillId="0" borderId="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65" fontId="7" fillId="0" borderId="69" xfId="0" applyNumberFormat="1" applyFont="1" applyBorder="1" applyAlignment="1">
      <alignment horizontal="center" vertical="center"/>
    </xf>
    <xf numFmtId="14" fontId="8" fillId="0" borderId="69" xfId="0" applyNumberFormat="1" applyFont="1" applyBorder="1" applyAlignment="1">
      <alignment horizontal="center" vertical="center"/>
    </xf>
    <xf numFmtId="0" fontId="4" fillId="0" borderId="6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 applyProtection="1">
      <alignment horizontal="center" vertical="center"/>
      <protection locked="0"/>
    </xf>
    <xf numFmtId="0" fontId="12" fillId="0" borderId="15" xfId="1" applyBorder="1" applyAlignment="1">
      <alignment horizontal="center" vertical="center"/>
    </xf>
    <xf numFmtId="0" fontId="12" fillId="0" borderId="16" xfId="1" applyBorder="1" applyAlignment="1">
      <alignment horizontal="center" vertical="center"/>
    </xf>
    <xf numFmtId="0" fontId="12" fillId="0" borderId="17" xfId="1" applyBorder="1" applyAlignment="1">
      <alignment horizontal="center" vertical="center"/>
    </xf>
    <xf numFmtId="0" fontId="12" fillId="0" borderId="9" xfId="1" applyBorder="1" applyAlignment="1">
      <alignment horizontal="center" vertical="center"/>
    </xf>
    <xf numFmtId="0" fontId="12" fillId="0" borderId="0" xfId="1" applyBorder="1" applyAlignment="1">
      <alignment horizontal="center" vertical="center"/>
    </xf>
    <xf numFmtId="0" fontId="12" fillId="0" borderId="10" xfId="1" applyBorder="1" applyAlignment="1">
      <alignment horizontal="center" vertical="center"/>
    </xf>
    <xf numFmtId="0" fontId="12" fillId="0" borderId="11" xfId="1" applyBorder="1" applyAlignment="1">
      <alignment horizontal="center" vertical="center"/>
    </xf>
    <xf numFmtId="0" fontId="12" fillId="0" borderId="12" xfId="1" applyBorder="1" applyAlignment="1">
      <alignment horizontal="center" vertical="center"/>
    </xf>
    <xf numFmtId="0" fontId="12" fillId="0" borderId="13" xfId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10" fillId="0" borderId="32" xfId="0" applyFont="1" applyBorder="1" applyAlignment="1" applyProtection="1">
      <alignment horizontal="left" vertical="center" wrapText="1"/>
      <protection locked="0"/>
    </xf>
    <xf numFmtId="0" fontId="10" fillId="0" borderId="33" xfId="0" applyFont="1" applyBorder="1" applyAlignment="1" applyProtection="1">
      <alignment horizontal="left" vertical="center" wrapText="1"/>
      <protection locked="0"/>
    </xf>
    <xf numFmtId="0" fontId="10" fillId="0" borderId="35" xfId="0" applyFont="1" applyBorder="1" applyAlignment="1" applyProtection="1">
      <alignment horizontal="left" vertical="center" wrapText="1"/>
      <protection locked="0"/>
    </xf>
    <xf numFmtId="0" fontId="10" fillId="0" borderId="36" xfId="0" applyFont="1" applyBorder="1" applyAlignment="1" applyProtection="1">
      <alignment horizontal="left" vertical="center" wrapText="1"/>
      <protection locked="0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38" xfId="0" applyFont="1" applyBorder="1" applyAlignment="1" applyProtection="1">
      <alignment horizontal="left" vertical="center" wrapText="1"/>
      <protection locked="0"/>
    </xf>
    <xf numFmtId="0" fontId="7" fillId="0" borderId="39" xfId="0" applyFont="1" applyBorder="1" applyAlignment="1" applyProtection="1">
      <alignment horizontal="left" vertical="center" wrapText="1"/>
      <protection locked="0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4" fillId="0" borderId="44" xfId="0" applyFont="1" applyBorder="1" applyAlignment="1" applyProtection="1">
      <alignment horizontal="left" vertical="center" wrapText="1"/>
      <protection locked="0"/>
    </xf>
    <xf numFmtId="0" fontId="4" fillId="0" borderId="45" xfId="0" applyFont="1" applyBorder="1" applyAlignment="1" applyProtection="1">
      <alignment horizontal="left" vertical="center" wrapText="1"/>
      <protection locked="0"/>
    </xf>
    <xf numFmtId="0" fontId="4" fillId="0" borderId="46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0" fontId="4" fillId="0" borderId="10" xfId="0" applyFont="1" applyBorder="1" applyAlignment="1" applyProtection="1">
      <alignment horizontal="left" vertical="center" wrapText="1"/>
      <protection locked="0"/>
    </xf>
    <xf numFmtId="0" fontId="4" fillId="0" borderId="47" xfId="0" applyFont="1" applyBorder="1" applyAlignment="1" applyProtection="1">
      <alignment horizontal="left" vertical="center" wrapText="1"/>
      <protection locked="0"/>
    </xf>
    <xf numFmtId="0" fontId="4" fillId="0" borderId="48" xfId="0" applyFont="1" applyBorder="1" applyAlignment="1" applyProtection="1">
      <alignment horizontal="left" vertical="center" wrapText="1"/>
      <protection locked="0"/>
    </xf>
    <xf numFmtId="0" fontId="4" fillId="0" borderId="49" xfId="0" applyFont="1" applyBorder="1" applyAlignment="1" applyProtection="1">
      <alignment horizontal="left" vertical="center" wrapText="1"/>
      <protection locked="0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16" xfId="0" applyNumberFormat="1" applyFont="1" applyBorder="1" applyAlignment="1">
      <alignment horizontal="center" vertical="center" wrapText="1"/>
    </xf>
    <xf numFmtId="14" fontId="2" fillId="0" borderId="17" xfId="0" applyNumberFormat="1" applyFont="1" applyBorder="1" applyAlignment="1">
      <alignment horizontal="center" vertical="center" wrapText="1"/>
    </xf>
    <xf numFmtId="14" fontId="2" fillId="0" borderId="9" xfId="0" applyNumberFormat="1" applyFont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4" fontId="2" fillId="0" borderId="10" xfId="0" applyNumberFormat="1" applyFont="1" applyBorder="1" applyAlignment="1">
      <alignment horizontal="center" vertical="center" wrapText="1"/>
    </xf>
    <xf numFmtId="14" fontId="2" fillId="0" borderId="53" xfId="0" applyNumberFormat="1" applyFont="1" applyBorder="1" applyAlignment="1">
      <alignment horizontal="center" vertical="center" wrapText="1"/>
    </xf>
    <xf numFmtId="14" fontId="2" fillId="0" borderId="55" xfId="0" applyNumberFormat="1" applyFont="1" applyBorder="1" applyAlignment="1">
      <alignment horizontal="center" vertical="center" wrapText="1"/>
    </xf>
    <xf numFmtId="14" fontId="2" fillId="0" borderId="54" xfId="0" applyNumberFormat="1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13" fillId="0" borderId="18" xfId="1" applyFont="1" applyBorder="1" applyAlignment="1" applyProtection="1">
      <alignment horizontal="center" vertical="center" wrapText="1"/>
    </xf>
    <xf numFmtId="0" fontId="13" fillId="0" borderId="20" xfId="1" applyFont="1" applyBorder="1" applyAlignment="1" applyProtection="1">
      <alignment horizontal="center" vertical="center" wrapText="1"/>
    </xf>
    <xf numFmtId="0" fontId="11" fillId="0" borderId="69" xfId="0" applyFont="1" applyBorder="1" applyAlignment="1">
      <alignment horizontal="center" vertical="center" wrapText="1"/>
    </xf>
    <xf numFmtId="0" fontId="10" fillId="0" borderId="6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2" fillId="0" borderId="56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" fillId="0" borderId="57" xfId="0" applyFont="1" applyBorder="1" applyAlignment="1">
      <alignment horizontal="center" vertical="center" wrapText="1"/>
    </xf>
    <xf numFmtId="0" fontId="2" fillId="0" borderId="6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164" fontId="1" fillId="0" borderId="21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left" vertical="center" wrapText="1"/>
    </xf>
    <xf numFmtId="0" fontId="16" fillId="3" borderId="0" xfId="0" applyFont="1" applyFill="1" applyAlignment="1">
      <alignment horizontal="center" vertical="center" wrapText="1"/>
    </xf>
  </cellXfs>
  <cellStyles count="4">
    <cellStyle name="Hiperlink" xfId="1" builtinId="8"/>
    <cellStyle name="Normal" xfId="0" builtinId="0"/>
    <cellStyle name="Normal 2 13" xfId="2"/>
    <cellStyle name="Normal 3 3" xfId="3"/>
  </cellStyles>
  <dxfs count="66">
    <dxf>
      <numFmt numFmtId="0" formatCode="General"/>
      <alignment horizontal="left" vertical="center" textRotation="0" wrapText="1" indent="0" justifyLastLine="0" shrinkToFit="0" readingOrder="0"/>
    </dxf>
    <dxf>
      <numFmt numFmtId="165" formatCode="[$-F400]h:mm:ss\ AM/PM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165" formatCode="[$-F400]h:mm:ss\ AM/PM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F400]h:mm:ss\ AM/PM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F400]h:mm:ss\ AM/PM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F400]h:mm:ss\ AM/PM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F400]h:mm:ss\ AM/PM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font>
        <b val="0"/>
      </font>
      <numFmt numFmtId="165" formatCode="[$-F400]h:mm:ss\ AM/PM"/>
      <alignment horizontal="left" vertical="center" textRotation="0" wrapText="0" indent="0" justifyLastLine="0" shrinkToFit="0" readingOrder="0"/>
    </dxf>
    <dxf>
      <numFmt numFmtId="165" formatCode="[$-F400]h:mm:ss\ AM/PM"/>
      <alignment horizontal="left" vertical="center" textRotation="0" wrapText="0" indent="0" justifyLastLine="0" shrinkToFit="0" readingOrder="0"/>
    </dxf>
    <dxf>
      <numFmt numFmtId="168" formatCode="\ [h]:mm:ss;\ @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165" formatCode="[$-F400]h:mm:ss\ AM/PM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165" formatCode="[$-F400]h:mm:ss\ AM/PM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2.xml><?xml version="1.0" encoding="utf-8"?>
<formControlPr xmlns="http://schemas.microsoft.com/office/spreadsheetml/2009/9/main" objectType="Drop" dropStyle="combo" dx="22" fmlaLink="$P$10" fmlaRange="$S$8:$S$10" noThreeD="1" sel="1" val="0"/>
</file>

<file path=xl/ctrlProps/ctrlProp3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4.xml><?xml version="1.0" encoding="utf-8"?>
<formControlPr xmlns="http://schemas.microsoft.com/office/spreadsheetml/2009/9/main" objectType="Drop" dropStyle="combo" dx="22" fmlaLink="$P$11" fmlaRange="$S$8:$S$10" noThreeD="1" sel="1" val="0"/>
</file>

<file path=xl/ctrlProps/ctrlProp5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6.xml><?xml version="1.0" encoding="utf-8"?>
<formControlPr xmlns="http://schemas.microsoft.com/office/spreadsheetml/2009/9/main" objectType="Drop" dropStyle="combo" dx="22" fmlaLink="$P$12" fmlaRange="$S$8:$S$10" noThreeD="1" sel="1" val="0"/>
</file>

<file path=xl/ctrlProps/ctrlProp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8.xml><?xml version="1.0" encoding="utf-8"?>
<formControlPr xmlns="http://schemas.microsoft.com/office/spreadsheetml/2009/9/main" objectType="Drop" dropStyle="combo" dx="22" fmlaLink="$P$13" fmlaRange="$S$8:$S$10" noThreeD="1" sel="1" val="0"/>
</file>

<file path=xl/ctrlProps/ctrlProp9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10.xml><?xml version="1.0" encoding="utf-8"?>
<formControlPr xmlns="http://schemas.microsoft.com/office/spreadsheetml/2009/9/main" objectType="Drop" dropStyle="combo" dx="22" fmlaLink="$P$14" fmlaRange="$S$8:$S$10" noThreeD="1" sel="1" val="0"/>
</file>

<file path=xl/ctrlProps/ctrlProp11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12.xml><?xml version="1.0" encoding="utf-8"?>
<formControlPr xmlns="http://schemas.microsoft.com/office/spreadsheetml/2009/9/main" objectType="Drop" dropStyle="combo" dx="22" fmlaLink="$P$15" fmlaRange="$S$8:$S$10" noThreeD="1" sel="1" val="0"/>
</file>

<file path=xl/ctrlProps/ctrlProp13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14.xml><?xml version="1.0" encoding="utf-8"?>
<formControlPr xmlns="http://schemas.microsoft.com/office/spreadsheetml/2009/9/main" objectType="Drop" dropStyle="combo" dx="22" fmlaLink="$P$16" fmlaRange="$S$8:$S$10" noThreeD="1" sel="1" val="0"/>
</file>

<file path=xl/ctrlProps/ctrlProp15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16.xml><?xml version="1.0" encoding="utf-8"?>
<formControlPr xmlns="http://schemas.microsoft.com/office/spreadsheetml/2009/9/main" objectType="Drop" dropStyle="combo" dx="22" fmlaLink="$P$17" fmlaRange="$S$8:$S$10" noThreeD="1" sel="1" val="0"/>
</file>

<file path=xl/ctrlProps/ctrlProp17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18.xml><?xml version="1.0" encoding="utf-8"?>
<formControlPr xmlns="http://schemas.microsoft.com/office/spreadsheetml/2009/9/main" objectType="Drop" dropStyle="combo" dx="22" fmlaLink="$P$18" fmlaRange="$S$8:$S$10" noThreeD="1" sel="1" val="0"/>
</file>

<file path=xl/ctrlProps/ctrlProp19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20.xml><?xml version="1.0" encoding="utf-8"?>
<formControlPr xmlns="http://schemas.microsoft.com/office/spreadsheetml/2009/9/main" objectType="Drop" dropStyle="combo" dx="22" fmlaLink="$P$19" fmlaRange="$S$8:$S$10" noThreeD="1" sel="1" val="0"/>
</file>

<file path=xl/ctrlProps/ctrlProp21.xml><?xml version="1.0" encoding="utf-8"?>
<formControlPr xmlns="http://schemas.microsoft.com/office/spreadsheetml/2009/9/main" objectType="Drop" dropStyle="combo" dx="22" fmlaLink="$O$43" fmlaRange="$S$8:$S$10" noThreeD="1" sel="1" val="0"/>
</file>

<file path=xl/ctrlProps/ctrlProp22.xml><?xml version="1.0" encoding="utf-8"?>
<formControlPr xmlns="http://schemas.microsoft.com/office/spreadsheetml/2009/9/main" objectType="Drop" dropStyle="combo" dx="22" fmlaLink="$S$21" fmlaRange="$S$22:$S$24" noThreeD="1" sel="1" val="0"/>
</file>

<file path=xl/ctrlProps/ctrlProp23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24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25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26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27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28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29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30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31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32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33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34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35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36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37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38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39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40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41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42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43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44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45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46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47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48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49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50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51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52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53.xml><?xml version="1.0" encoding="utf-8"?>
<formControlPr xmlns="http://schemas.microsoft.com/office/spreadsheetml/2009/9/main" objectType="Drop" dropStyle="combo" dx="22" fmlaLink="$L$43" fmlaRange="$S$8:$S$10" noThreeD="1" sel="2" val="0"/>
</file>

<file path=xl/ctrlProps/ctrlProp54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55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56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5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58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59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60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61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62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63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64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65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66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6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68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69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70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71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72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73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74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75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76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7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78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79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80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81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82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83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84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85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86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8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88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89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90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91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92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93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94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95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96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9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98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99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100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101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102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103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104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105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106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10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108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109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110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111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112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113.xml><?xml version="1.0" encoding="utf-8"?>
<formControlPr xmlns="http://schemas.microsoft.com/office/spreadsheetml/2009/9/main" objectType="Drop" dropStyle="combo" dx="22" fmlaLink="$N$19" fmlaRange="$S$12:$S$17" noThreeD="1" sel="1" val="0"/>
</file>

<file path=xl/ctrlProps/ctrlProp114.xml><?xml version="1.0" encoding="utf-8"?>
<formControlPr xmlns="http://schemas.microsoft.com/office/spreadsheetml/2009/9/main" objectType="Drop" dropStyle="combo" dx="22" fmlaLink="$N$10" fmlaRange="$S$12:$S$17" noThreeD="1" sel="1" val="0"/>
</file>

<file path=xl/ctrlProps/ctrlProp115.xml><?xml version="1.0" encoding="utf-8"?>
<formControlPr xmlns="http://schemas.microsoft.com/office/spreadsheetml/2009/9/main" objectType="Drop" dropStyle="combo" dx="22" fmlaLink="$N$11" fmlaRange="$S$12:$S$17" noThreeD="1" sel="1" val="0"/>
</file>

<file path=xl/ctrlProps/ctrlProp116.xml><?xml version="1.0" encoding="utf-8"?>
<formControlPr xmlns="http://schemas.microsoft.com/office/spreadsheetml/2009/9/main" objectType="Drop" dropStyle="combo" dx="22" fmlaLink="$N$12" fmlaRange="$S$12:$S$17" noThreeD="1" sel="1" val="0"/>
</file>

<file path=xl/ctrlProps/ctrlProp117.xml><?xml version="1.0" encoding="utf-8"?>
<formControlPr xmlns="http://schemas.microsoft.com/office/spreadsheetml/2009/9/main" objectType="Drop" dropStyle="combo" dx="22" fmlaLink="$N$13" fmlaRange="$S$12:$S$17" noThreeD="1" sel="1" val="0"/>
</file>

<file path=xl/ctrlProps/ctrlProp118.xml><?xml version="1.0" encoding="utf-8"?>
<formControlPr xmlns="http://schemas.microsoft.com/office/spreadsheetml/2009/9/main" objectType="Drop" dropStyle="combo" dx="22" fmlaLink="$N$14" fmlaRange="$S$12:$S$17" noThreeD="1" sel="1" val="0"/>
</file>

<file path=xl/ctrlProps/ctrlProp119.xml><?xml version="1.0" encoding="utf-8"?>
<formControlPr xmlns="http://schemas.microsoft.com/office/spreadsheetml/2009/9/main" objectType="Drop" dropStyle="combo" dx="22" fmlaLink="$N$15" fmlaRange="$S$12:$S$17" noThreeD="1" sel="1" val="0"/>
</file>

<file path=xl/ctrlProps/ctrlProp120.xml><?xml version="1.0" encoding="utf-8"?>
<formControlPr xmlns="http://schemas.microsoft.com/office/spreadsheetml/2009/9/main" objectType="Drop" dropStyle="combo" dx="22" fmlaLink="$N$16" fmlaRange="$S$12:$S$17" noThreeD="1" sel="1" val="0"/>
</file>

<file path=xl/ctrlProps/ctrlProp121.xml><?xml version="1.0" encoding="utf-8"?>
<formControlPr xmlns="http://schemas.microsoft.com/office/spreadsheetml/2009/9/main" objectType="Drop" dropStyle="combo" dx="22" fmlaLink="$N$17" fmlaRange="$S$12:$S$17" noThreeD="1" sel="1" val="0"/>
</file>

<file path=xl/ctrlProps/ctrlProp122.xml><?xml version="1.0" encoding="utf-8"?>
<formControlPr xmlns="http://schemas.microsoft.com/office/spreadsheetml/2009/9/main" objectType="Drop" dropStyle="combo" dx="22" fmlaLink="$N$18" fmlaRange="$S$12:$S$17" noThreeD="1" sel="1" val="0"/>
</file>

<file path=xl/ctrlProps/ctrlProp123.xml><?xml version="1.0" encoding="utf-8"?>
<formControlPr xmlns="http://schemas.microsoft.com/office/spreadsheetml/2009/9/main" objectType="Drop" dropStyle="combo" dx="22" fmlaLink="$N$19" fmlaRange="$S$12:$S$17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18" Type="http://schemas.openxmlformats.org/officeDocument/2006/relationships/image" Target="../media/image13.png"/><Relationship Id="rId3" Type="http://schemas.openxmlformats.org/officeDocument/2006/relationships/image" Target="../media/image2.png"/><Relationship Id="rId21" Type="http://schemas.openxmlformats.org/officeDocument/2006/relationships/image" Target="../media/image15.png"/><Relationship Id="rId7" Type="http://schemas.openxmlformats.org/officeDocument/2006/relationships/image" Target="../media/image6.svg"/><Relationship Id="rId12" Type="http://schemas.openxmlformats.org/officeDocument/2006/relationships/image" Target="../media/image8.png"/><Relationship Id="rId17" Type="http://schemas.openxmlformats.org/officeDocument/2006/relationships/image" Target="../media/image12.png"/><Relationship Id="rId25" Type="http://schemas.openxmlformats.org/officeDocument/2006/relationships/image" Target="../media/image14.svg"/><Relationship Id="rId2" Type="http://schemas.openxmlformats.org/officeDocument/2006/relationships/image" Target="../media/image2.svg"/><Relationship Id="rId16" Type="http://schemas.openxmlformats.org/officeDocument/2006/relationships/image" Target="../media/image10.svg"/><Relationship Id="rId20" Type="http://schemas.openxmlformats.org/officeDocument/2006/relationships/image" Target="../media/image14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image" Target="../media/image7.png"/><Relationship Id="rId24" Type="http://schemas.openxmlformats.org/officeDocument/2006/relationships/image" Target="../media/image18.png"/><Relationship Id="rId5" Type="http://schemas.openxmlformats.org/officeDocument/2006/relationships/image" Target="../media/image4.svg"/><Relationship Id="rId15" Type="http://schemas.openxmlformats.org/officeDocument/2006/relationships/image" Target="../media/image11.png"/><Relationship Id="rId23" Type="http://schemas.openxmlformats.org/officeDocument/2006/relationships/image" Target="../media/image17.png"/><Relationship Id="rId10" Type="http://schemas.openxmlformats.org/officeDocument/2006/relationships/image" Target="../media/image6.png"/><Relationship Id="rId19" Type="http://schemas.openxmlformats.org/officeDocument/2006/relationships/image" Target="../media/image12.sv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0.png"/><Relationship Id="rId22" Type="http://schemas.openxmlformats.org/officeDocument/2006/relationships/image" Target="../media/image1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svg"/><Relationship Id="rId3" Type="http://schemas.openxmlformats.org/officeDocument/2006/relationships/image" Target="../media/image20.png"/><Relationship Id="rId7" Type="http://schemas.openxmlformats.org/officeDocument/2006/relationships/image" Target="../media/image22.png"/><Relationship Id="rId2" Type="http://schemas.openxmlformats.org/officeDocument/2006/relationships/image" Target="../media/image16.svg"/><Relationship Id="rId1" Type="http://schemas.openxmlformats.org/officeDocument/2006/relationships/image" Target="../media/image19.png"/><Relationship Id="rId6" Type="http://schemas.openxmlformats.org/officeDocument/2006/relationships/image" Target="../media/image20.svg"/><Relationship Id="rId5" Type="http://schemas.openxmlformats.org/officeDocument/2006/relationships/image" Target="../media/image21.png"/><Relationship Id="rId4" Type="http://schemas.openxmlformats.org/officeDocument/2006/relationships/image" Target="../media/image1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svg"/><Relationship Id="rId1" Type="http://schemas.openxmlformats.org/officeDocument/2006/relationships/image" Target="../media/image23.png"/><Relationship Id="rId4" Type="http://schemas.openxmlformats.org/officeDocument/2006/relationships/image" Target="../media/image25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svg"/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304800</xdr:colOff>
      <xdr:row>13</xdr:row>
      <xdr:rowOff>114300</xdr:rowOff>
    </xdr:from>
    <xdr:to>
      <xdr:col>27</xdr:col>
      <xdr:colOff>351592</xdr:colOff>
      <xdr:row>18</xdr:row>
      <xdr:rowOff>107496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pSpPr/>
      </xdr:nvGrpSpPr>
      <xdr:grpSpPr>
        <a:xfrm>
          <a:off x="10528883" y="3338818"/>
          <a:ext cx="1506126" cy="954435"/>
          <a:chOff x="2219325" y="1228725"/>
          <a:chExt cx="1514475" cy="936171"/>
        </a:xfrm>
      </xdr:grpSpPr>
      <xdr:sp macro="[0]!Verificações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xmlns="" id="{00000000-0008-0000-0000-000002000000}"/>
              </a:ext>
            </a:extLst>
          </xdr:cNvPr>
          <xdr:cNvSpPr/>
        </xdr:nvSpPr>
        <xdr:spPr>
          <a:xfrm>
            <a:off x="2219325" y="1228725"/>
            <a:ext cx="1514475" cy="93617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Verificações">
        <xdr:nvPicPr>
          <xdr:cNvPr id="3" name="Gráfico 2" descr="Disco com preenchimento sólido">
            <a:extLst>
              <a:ext uri="{FF2B5EF4-FFF2-40B4-BE49-F238E27FC236}">
                <a16:creationId xmlns:a16="http://schemas.microsoft.com/office/drawing/2014/main" xmlns="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514600" y="1238250"/>
            <a:ext cx="914400" cy="9144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</xdr:row>
          <xdr:rowOff>0</xdr:rowOff>
        </xdr:from>
        <xdr:to>
          <xdr:col>15</xdr:col>
          <xdr:colOff>0</xdr:colOff>
          <xdr:row>10</xdr:row>
          <xdr:rowOff>9525</xdr:rowOff>
        </xdr:to>
        <xdr:sp macro="" textlink="">
          <xdr:nvSpPr>
            <xdr:cNvPr id="3088" name="Drop Dow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xmlns="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</xdr:row>
          <xdr:rowOff>0</xdr:rowOff>
        </xdr:from>
        <xdr:to>
          <xdr:col>16</xdr:col>
          <xdr:colOff>581025</xdr:colOff>
          <xdr:row>10</xdr:row>
          <xdr:rowOff>9525</xdr:rowOff>
        </xdr:to>
        <xdr:sp macro="" textlink="">
          <xdr:nvSpPr>
            <xdr:cNvPr id="3098" name="Drop Dow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xmlns="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0</xdr:rowOff>
        </xdr:from>
        <xdr:to>
          <xdr:col>15</xdr:col>
          <xdr:colOff>0</xdr:colOff>
          <xdr:row>11</xdr:row>
          <xdr:rowOff>9525</xdr:rowOff>
        </xdr:to>
        <xdr:sp macro="" textlink="">
          <xdr:nvSpPr>
            <xdr:cNvPr id="3108" name="Drop Dow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xmlns="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10</xdr:row>
          <xdr:rowOff>0</xdr:rowOff>
        </xdr:from>
        <xdr:to>
          <xdr:col>16</xdr:col>
          <xdr:colOff>581025</xdr:colOff>
          <xdr:row>11</xdr:row>
          <xdr:rowOff>9525</xdr:rowOff>
        </xdr:to>
        <xdr:sp macro="" textlink="">
          <xdr:nvSpPr>
            <xdr:cNvPr id="3109" name="Drop Dow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xmlns="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</xdr:row>
          <xdr:rowOff>0</xdr:rowOff>
        </xdr:from>
        <xdr:to>
          <xdr:col>15</xdr:col>
          <xdr:colOff>0</xdr:colOff>
          <xdr:row>12</xdr:row>
          <xdr:rowOff>9525</xdr:rowOff>
        </xdr:to>
        <xdr:sp macro="" textlink="">
          <xdr:nvSpPr>
            <xdr:cNvPr id="3110" name="Drop Dow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xmlns="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11</xdr:row>
          <xdr:rowOff>0</xdr:rowOff>
        </xdr:from>
        <xdr:to>
          <xdr:col>16</xdr:col>
          <xdr:colOff>581025</xdr:colOff>
          <xdr:row>12</xdr:row>
          <xdr:rowOff>9525</xdr:rowOff>
        </xdr:to>
        <xdr:sp macro="" textlink="">
          <xdr:nvSpPr>
            <xdr:cNvPr id="3111" name="Drop Dow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xmlns="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12</xdr:row>
          <xdr:rowOff>0</xdr:rowOff>
        </xdr:from>
        <xdr:to>
          <xdr:col>15</xdr:col>
          <xdr:colOff>0</xdr:colOff>
          <xdr:row>13</xdr:row>
          <xdr:rowOff>9525</xdr:rowOff>
        </xdr:to>
        <xdr:sp macro="" textlink="">
          <xdr:nvSpPr>
            <xdr:cNvPr id="3112" name="Drop Dow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xmlns="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12</xdr:row>
          <xdr:rowOff>0</xdr:rowOff>
        </xdr:from>
        <xdr:to>
          <xdr:col>16</xdr:col>
          <xdr:colOff>581025</xdr:colOff>
          <xdr:row>13</xdr:row>
          <xdr:rowOff>9525</xdr:rowOff>
        </xdr:to>
        <xdr:sp macro="" textlink="">
          <xdr:nvSpPr>
            <xdr:cNvPr id="3113" name="Drop Dow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xmlns="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13</xdr:row>
          <xdr:rowOff>0</xdr:rowOff>
        </xdr:from>
        <xdr:to>
          <xdr:col>15</xdr:col>
          <xdr:colOff>0</xdr:colOff>
          <xdr:row>14</xdr:row>
          <xdr:rowOff>9525</xdr:rowOff>
        </xdr:to>
        <xdr:sp macro="" textlink="">
          <xdr:nvSpPr>
            <xdr:cNvPr id="3116" name="Drop Dow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xmlns="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13</xdr:row>
          <xdr:rowOff>0</xdr:rowOff>
        </xdr:from>
        <xdr:to>
          <xdr:col>16</xdr:col>
          <xdr:colOff>581025</xdr:colOff>
          <xdr:row>14</xdr:row>
          <xdr:rowOff>9525</xdr:rowOff>
        </xdr:to>
        <xdr:sp macro="" textlink="">
          <xdr:nvSpPr>
            <xdr:cNvPr id="3117" name="Drop Dow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xmlns="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14</xdr:row>
          <xdr:rowOff>0</xdr:rowOff>
        </xdr:from>
        <xdr:to>
          <xdr:col>15</xdr:col>
          <xdr:colOff>0</xdr:colOff>
          <xdr:row>15</xdr:row>
          <xdr:rowOff>9525</xdr:rowOff>
        </xdr:to>
        <xdr:sp macro="" textlink="">
          <xdr:nvSpPr>
            <xdr:cNvPr id="3118" name="Drop Dow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xmlns="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14</xdr:row>
          <xdr:rowOff>0</xdr:rowOff>
        </xdr:from>
        <xdr:to>
          <xdr:col>16</xdr:col>
          <xdr:colOff>581025</xdr:colOff>
          <xdr:row>15</xdr:row>
          <xdr:rowOff>9525</xdr:rowOff>
        </xdr:to>
        <xdr:sp macro="" textlink="">
          <xdr:nvSpPr>
            <xdr:cNvPr id="3119" name="Drop Dow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xmlns="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15</xdr:row>
          <xdr:rowOff>0</xdr:rowOff>
        </xdr:from>
        <xdr:to>
          <xdr:col>15</xdr:col>
          <xdr:colOff>0</xdr:colOff>
          <xdr:row>16</xdr:row>
          <xdr:rowOff>9525</xdr:rowOff>
        </xdr:to>
        <xdr:sp macro="" textlink="">
          <xdr:nvSpPr>
            <xdr:cNvPr id="3120" name="Drop Dow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xmlns="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15</xdr:row>
          <xdr:rowOff>0</xdr:rowOff>
        </xdr:from>
        <xdr:to>
          <xdr:col>16</xdr:col>
          <xdr:colOff>581025</xdr:colOff>
          <xdr:row>16</xdr:row>
          <xdr:rowOff>9525</xdr:rowOff>
        </xdr:to>
        <xdr:sp macro="" textlink="">
          <xdr:nvSpPr>
            <xdr:cNvPr id="3121" name="Drop Dow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xmlns="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16</xdr:row>
          <xdr:rowOff>0</xdr:rowOff>
        </xdr:from>
        <xdr:to>
          <xdr:col>15</xdr:col>
          <xdr:colOff>0</xdr:colOff>
          <xdr:row>17</xdr:row>
          <xdr:rowOff>9525</xdr:rowOff>
        </xdr:to>
        <xdr:sp macro="" textlink="">
          <xdr:nvSpPr>
            <xdr:cNvPr id="3122" name="Drop Dow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xmlns="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16</xdr:row>
          <xdr:rowOff>0</xdr:rowOff>
        </xdr:from>
        <xdr:to>
          <xdr:col>16</xdr:col>
          <xdr:colOff>581025</xdr:colOff>
          <xdr:row>17</xdr:row>
          <xdr:rowOff>9525</xdr:rowOff>
        </xdr:to>
        <xdr:sp macro="" textlink="">
          <xdr:nvSpPr>
            <xdr:cNvPr id="3123" name="Drop Dow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xmlns="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17</xdr:row>
          <xdr:rowOff>0</xdr:rowOff>
        </xdr:from>
        <xdr:to>
          <xdr:col>15</xdr:col>
          <xdr:colOff>0</xdr:colOff>
          <xdr:row>18</xdr:row>
          <xdr:rowOff>9525</xdr:rowOff>
        </xdr:to>
        <xdr:sp macro="" textlink="">
          <xdr:nvSpPr>
            <xdr:cNvPr id="3124" name="Drop Dow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xmlns="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17</xdr:row>
          <xdr:rowOff>0</xdr:rowOff>
        </xdr:from>
        <xdr:to>
          <xdr:col>16</xdr:col>
          <xdr:colOff>581025</xdr:colOff>
          <xdr:row>18</xdr:row>
          <xdr:rowOff>9525</xdr:rowOff>
        </xdr:to>
        <xdr:sp macro="" textlink="">
          <xdr:nvSpPr>
            <xdr:cNvPr id="3125" name="Drop Dow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xmlns="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18</xdr:row>
          <xdr:rowOff>0</xdr:rowOff>
        </xdr:from>
        <xdr:to>
          <xdr:col>15</xdr:col>
          <xdr:colOff>0</xdr:colOff>
          <xdr:row>19</xdr:row>
          <xdr:rowOff>9525</xdr:rowOff>
        </xdr:to>
        <xdr:sp macro="" textlink="">
          <xdr:nvSpPr>
            <xdr:cNvPr id="3126" name="Drop Dow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xmlns="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18</xdr:row>
          <xdr:rowOff>0</xdr:rowOff>
        </xdr:from>
        <xdr:to>
          <xdr:col>16</xdr:col>
          <xdr:colOff>581025</xdr:colOff>
          <xdr:row>19</xdr:row>
          <xdr:rowOff>9525</xdr:rowOff>
        </xdr:to>
        <xdr:sp macro="" textlink="">
          <xdr:nvSpPr>
            <xdr:cNvPr id="3127" name="Drop Dow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xmlns="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42</xdr:row>
          <xdr:rowOff>0</xdr:rowOff>
        </xdr:from>
        <xdr:to>
          <xdr:col>16</xdr:col>
          <xdr:colOff>285750</xdr:colOff>
          <xdr:row>43</xdr:row>
          <xdr:rowOff>9525</xdr:rowOff>
        </xdr:to>
        <xdr:sp macro="" textlink="">
          <xdr:nvSpPr>
            <xdr:cNvPr id="3129" name="Drop Dow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xmlns="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oneCellAnchor>
    <xdr:from>
      <xdr:col>25</xdr:col>
      <xdr:colOff>304800</xdr:colOff>
      <xdr:row>38</xdr:row>
      <xdr:rowOff>0</xdr:rowOff>
    </xdr:from>
    <xdr:ext cx="1514475" cy="945696"/>
    <xdr:grpSp>
      <xdr:nvGrpSpPr>
        <xdr:cNvPr id="26" name="Agrupar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0528883" y="8266651"/>
          <a:ext cx="1514475" cy="945696"/>
          <a:chOff x="2219325" y="1228725"/>
          <a:chExt cx="1514475" cy="936171"/>
        </a:xfrm>
      </xdr:grpSpPr>
      <xdr:sp macro="[0]!Verificações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xmlns="" id="{00000000-0008-0000-0000-00001B000000}"/>
              </a:ext>
            </a:extLst>
          </xdr:cNvPr>
          <xdr:cNvSpPr/>
        </xdr:nvSpPr>
        <xdr:spPr>
          <a:xfrm>
            <a:off x="2219325" y="1228725"/>
            <a:ext cx="1514475" cy="93617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Verificações">
        <xdr:nvPicPr>
          <xdr:cNvPr id="28" name="Gráfico 27" descr="Disco com preenchimento sólido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514600" y="1238250"/>
            <a:ext cx="914400" cy="914400"/>
          </a:xfrm>
          <a:prstGeom prst="rect">
            <a:avLst/>
          </a:prstGeom>
        </xdr:spPr>
      </xdr:pic>
    </xdr:grpSp>
    <xdr:clientData/>
  </xdr:oneCellAnchor>
  <xdr:twoCellAnchor editAs="oneCell">
    <xdr:from>
      <xdr:col>25</xdr:col>
      <xdr:colOff>14554</xdr:colOff>
      <xdr:row>24</xdr:row>
      <xdr:rowOff>36629</xdr:rowOff>
    </xdr:from>
    <xdr:to>
      <xdr:col>28</xdr:col>
      <xdr:colOff>21066</xdr:colOff>
      <xdr:row>27</xdr:row>
      <xdr:rowOff>36628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GrpSpPr/>
      </xdr:nvGrpSpPr>
      <xdr:grpSpPr>
        <a:xfrm>
          <a:off x="10238637" y="5585597"/>
          <a:ext cx="2042590" cy="594219"/>
          <a:chOff x="9699014" y="5614255"/>
          <a:chExt cx="2051539" cy="595312"/>
        </a:xfrm>
      </xdr:grpSpPr>
      <xdr:sp macro="[0]!VerificarOrtografia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SpPr/>
        </xdr:nvSpPr>
        <xdr:spPr>
          <a:xfrm>
            <a:off x="9699014" y="5614255"/>
            <a:ext cx="2051539" cy="595312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GrpSpPr/>
        </xdr:nvGrpSpPr>
        <xdr:grpSpPr>
          <a:xfrm>
            <a:off x="10970603" y="5623414"/>
            <a:ext cx="586153" cy="586153"/>
            <a:chOff x="10302020" y="5614255"/>
            <a:chExt cx="586153" cy="586153"/>
          </a:xfrm>
        </xdr:grpSpPr>
        <xdr:pic macro="[0]!VerificarOrtografia">
          <xdr:nvPicPr>
            <xdr:cNvPr id="6" name="Gráfico 5" descr="Área de Transferência com preenchimento sólido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5"/>
                </a:ext>
              </a:extLst>
            </a:blip>
            <a:stretch>
              <a:fillRect/>
            </a:stretch>
          </xdr:blipFill>
          <xdr:spPr>
            <a:xfrm>
              <a:off x="10302020" y="5614255"/>
              <a:ext cx="586153" cy="586153"/>
            </a:xfrm>
            <a:prstGeom prst="rect">
              <a:avLst/>
            </a:prstGeom>
          </xdr:spPr>
        </xdr:pic>
        <xdr:pic macro="[0]!VerificarOrtografia">
          <xdr:nvPicPr>
            <xdr:cNvPr id="8" name="Gráfico 7" descr="Marca de seleção com preenchimento sólido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7"/>
                </a:ext>
              </a:extLst>
            </a:blip>
            <a:stretch>
              <a:fillRect/>
            </a:stretch>
          </xdr:blipFill>
          <xdr:spPr>
            <a:xfrm>
              <a:off x="10550769" y="5951658"/>
              <a:ext cx="174016" cy="174016"/>
            </a:xfrm>
            <a:prstGeom prst="rect">
              <a:avLst/>
            </a:prstGeom>
          </xdr:spPr>
        </xdr:pic>
      </xdr:grpSp>
      <xdr:sp macro="[0]!VerificarOrtografia" textlink="">
        <xdr:nvSpPr>
          <xdr:cNvPr id="11" name="Retângulo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/>
        </xdr:nvSpPr>
        <xdr:spPr>
          <a:xfrm>
            <a:off x="9853077" y="5644583"/>
            <a:ext cx="955774" cy="530658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Verificar</a:t>
            </a:r>
            <a:b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</a:br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Ortografia</a:t>
            </a:r>
          </a:p>
        </xdr:txBody>
      </xdr:sp>
    </xdr:grpSp>
    <xdr:clientData/>
  </xdr:twoCellAnchor>
  <xdr:twoCellAnchor editAs="oneCell">
    <xdr:from>
      <xdr:col>5</xdr:col>
      <xdr:colOff>16479</xdr:colOff>
      <xdr:row>9</xdr:row>
      <xdr:rowOff>5357</xdr:rowOff>
    </xdr:from>
    <xdr:to>
      <xdr:col>5</xdr:col>
      <xdr:colOff>201652</xdr:colOff>
      <xdr:row>9</xdr:row>
      <xdr:rowOff>185357</xdr:rowOff>
    </xdr:to>
    <xdr:pic macro="[0]!DataInicio1">
      <xdr:nvPicPr>
        <xdr:cNvPr id="7" name="Gráfico 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675" y="2307922"/>
          <a:ext cx="185173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19538</xdr:colOff>
      <xdr:row>10</xdr:row>
      <xdr:rowOff>8371</xdr:rowOff>
    </xdr:from>
    <xdr:to>
      <xdr:col>5</xdr:col>
      <xdr:colOff>200063</xdr:colOff>
      <xdr:row>11</xdr:row>
      <xdr:rowOff>377</xdr:rowOff>
    </xdr:to>
    <xdr:pic macro="[0]!DataInicio2">
      <xdr:nvPicPr>
        <xdr:cNvPr id="38" name="Gráfico 3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6734" y="2501436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15149</xdr:colOff>
      <xdr:row>11</xdr:row>
      <xdr:rowOff>3212</xdr:rowOff>
    </xdr:from>
    <xdr:to>
      <xdr:col>5</xdr:col>
      <xdr:colOff>200322</xdr:colOff>
      <xdr:row>11</xdr:row>
      <xdr:rowOff>183212</xdr:rowOff>
    </xdr:to>
    <xdr:pic macro="[0]!DataInicio3">
      <xdr:nvPicPr>
        <xdr:cNvPr id="39" name="Gráfico 3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5171" y="2682118"/>
          <a:ext cx="185173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18208</xdr:colOff>
      <xdr:row>12</xdr:row>
      <xdr:rowOff>6226</xdr:rowOff>
    </xdr:from>
    <xdr:to>
      <xdr:col>5</xdr:col>
      <xdr:colOff>198733</xdr:colOff>
      <xdr:row>13</xdr:row>
      <xdr:rowOff>105</xdr:rowOff>
    </xdr:to>
    <xdr:pic macro="[0]!DataInicio4">
      <xdr:nvPicPr>
        <xdr:cNvPr id="40" name="Gráfico 3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8230" y="2872230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18208</xdr:colOff>
      <xdr:row>13</xdr:row>
      <xdr:rowOff>3213</xdr:rowOff>
    </xdr:from>
    <xdr:to>
      <xdr:col>5</xdr:col>
      <xdr:colOff>203381</xdr:colOff>
      <xdr:row>13</xdr:row>
      <xdr:rowOff>183213</xdr:rowOff>
    </xdr:to>
    <xdr:pic macro="[0]!DataInicio5">
      <xdr:nvPicPr>
        <xdr:cNvPr id="41" name="Gráfico 4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8230" y="3056316"/>
          <a:ext cx="185173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12763</xdr:colOff>
      <xdr:row>14</xdr:row>
      <xdr:rowOff>6227</xdr:rowOff>
    </xdr:from>
    <xdr:to>
      <xdr:col>5</xdr:col>
      <xdr:colOff>193288</xdr:colOff>
      <xdr:row>15</xdr:row>
      <xdr:rowOff>106</xdr:rowOff>
    </xdr:to>
    <xdr:pic macro="[0]!DataInicio6">
      <xdr:nvPicPr>
        <xdr:cNvPr id="42" name="Gráfico 4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2785" y="3246428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19937</xdr:colOff>
      <xdr:row>16</xdr:row>
      <xdr:rowOff>4082</xdr:rowOff>
    </xdr:from>
    <xdr:to>
      <xdr:col>5</xdr:col>
      <xdr:colOff>200462</xdr:colOff>
      <xdr:row>16</xdr:row>
      <xdr:rowOff>184082</xdr:rowOff>
    </xdr:to>
    <xdr:pic macro="[0]!DataInicio8">
      <xdr:nvPicPr>
        <xdr:cNvPr id="43" name="Gráfico 4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9959" y="3618479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20590</xdr:colOff>
      <xdr:row>14</xdr:row>
      <xdr:rowOff>184139</xdr:rowOff>
    </xdr:from>
    <xdr:to>
      <xdr:col>5</xdr:col>
      <xdr:colOff>201115</xdr:colOff>
      <xdr:row>15</xdr:row>
      <xdr:rowOff>177041</xdr:rowOff>
    </xdr:to>
    <xdr:pic macro="[0]!DataInicio7">
      <xdr:nvPicPr>
        <xdr:cNvPr id="44" name="Gráfico 4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0612" y="3424340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19164</xdr:colOff>
      <xdr:row>18</xdr:row>
      <xdr:rowOff>10111</xdr:rowOff>
    </xdr:from>
    <xdr:to>
      <xdr:col>5</xdr:col>
      <xdr:colOff>199689</xdr:colOff>
      <xdr:row>19</xdr:row>
      <xdr:rowOff>1408</xdr:rowOff>
    </xdr:to>
    <xdr:pic macro="[0]!DataInicio10">
      <xdr:nvPicPr>
        <xdr:cNvPr id="45" name="Gráfico 4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9959" y="4027929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5</xdr:col>
      <xdr:colOff>19817</xdr:colOff>
      <xdr:row>16</xdr:row>
      <xdr:rowOff>190168</xdr:rowOff>
    </xdr:from>
    <xdr:to>
      <xdr:col>5</xdr:col>
      <xdr:colOff>200342</xdr:colOff>
      <xdr:row>17</xdr:row>
      <xdr:rowOff>183070</xdr:rowOff>
    </xdr:to>
    <xdr:pic macro="[0]!DataInicio9">
      <xdr:nvPicPr>
        <xdr:cNvPr id="46" name="Gráfico 4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0612" y="3826986"/>
          <a:ext cx="180525" cy="183402"/>
        </a:xfrm>
        <a:prstGeom prst="rect">
          <a:avLst/>
        </a:prstGeom>
      </xdr:spPr>
    </xdr:pic>
    <xdr:clientData/>
  </xdr:twoCellAnchor>
  <xdr:twoCellAnchor editAs="oneCell">
    <xdr:from>
      <xdr:col>10</xdr:col>
      <xdr:colOff>20035</xdr:colOff>
      <xdr:row>9</xdr:row>
      <xdr:rowOff>274</xdr:rowOff>
    </xdr:from>
    <xdr:to>
      <xdr:col>10</xdr:col>
      <xdr:colOff>205208</xdr:colOff>
      <xdr:row>9</xdr:row>
      <xdr:rowOff>180274</xdr:rowOff>
    </xdr:to>
    <xdr:pic macro="[0]!DataFinal1">
      <xdr:nvPicPr>
        <xdr:cNvPr id="47" name="Gráfico 4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0592" y="2303592"/>
          <a:ext cx="185173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23094</xdr:colOff>
      <xdr:row>10</xdr:row>
      <xdr:rowOff>3288</xdr:rowOff>
    </xdr:from>
    <xdr:to>
      <xdr:col>10</xdr:col>
      <xdr:colOff>203619</xdr:colOff>
      <xdr:row>10</xdr:row>
      <xdr:rowOff>183288</xdr:rowOff>
    </xdr:to>
    <xdr:pic macro="[0]!DataFinal2">
      <xdr:nvPicPr>
        <xdr:cNvPr id="48" name="Gráfico 4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651" y="2497106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18705</xdr:colOff>
      <xdr:row>10</xdr:row>
      <xdr:rowOff>188629</xdr:rowOff>
    </xdr:from>
    <xdr:to>
      <xdr:col>10</xdr:col>
      <xdr:colOff>203878</xdr:colOff>
      <xdr:row>11</xdr:row>
      <xdr:rowOff>178129</xdr:rowOff>
    </xdr:to>
    <xdr:pic macro="[0]!DataFinal3">
      <xdr:nvPicPr>
        <xdr:cNvPr id="49" name="Gráfico 4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59262" y="2682447"/>
          <a:ext cx="185173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21764</xdr:colOff>
      <xdr:row>12</xdr:row>
      <xdr:rowOff>1143</xdr:rowOff>
    </xdr:from>
    <xdr:to>
      <xdr:col>10</xdr:col>
      <xdr:colOff>202289</xdr:colOff>
      <xdr:row>12</xdr:row>
      <xdr:rowOff>181143</xdr:rowOff>
    </xdr:to>
    <xdr:pic macro="[0]!DataFinal4">
      <xdr:nvPicPr>
        <xdr:cNvPr id="50" name="Gráfico 4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2321" y="2875961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21764</xdr:colOff>
      <xdr:row>12</xdr:row>
      <xdr:rowOff>188630</xdr:rowOff>
    </xdr:from>
    <xdr:to>
      <xdr:col>10</xdr:col>
      <xdr:colOff>206937</xdr:colOff>
      <xdr:row>13</xdr:row>
      <xdr:rowOff>178129</xdr:rowOff>
    </xdr:to>
    <xdr:pic macro="[0]!DataFinal5">
      <xdr:nvPicPr>
        <xdr:cNvPr id="51" name="Gráfico 5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2321" y="3063448"/>
          <a:ext cx="185173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16319</xdr:colOff>
      <xdr:row>14</xdr:row>
      <xdr:rowOff>1144</xdr:rowOff>
    </xdr:from>
    <xdr:to>
      <xdr:col>10</xdr:col>
      <xdr:colOff>196844</xdr:colOff>
      <xdr:row>14</xdr:row>
      <xdr:rowOff>181144</xdr:rowOff>
    </xdr:to>
    <xdr:pic macro="[0]!DataFinal6">
      <xdr:nvPicPr>
        <xdr:cNvPr id="52" name="Gráfico 5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56876" y="3256962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23493</xdr:colOff>
      <xdr:row>15</xdr:row>
      <xdr:rowOff>189499</xdr:rowOff>
    </xdr:from>
    <xdr:to>
      <xdr:col>10</xdr:col>
      <xdr:colOff>204018</xdr:colOff>
      <xdr:row>16</xdr:row>
      <xdr:rowOff>178999</xdr:rowOff>
    </xdr:to>
    <xdr:pic macro="[0]!DataFinal8">
      <xdr:nvPicPr>
        <xdr:cNvPr id="53" name="Gráfico 5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4050" y="3635817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24146</xdr:colOff>
      <xdr:row>14</xdr:row>
      <xdr:rowOff>179056</xdr:rowOff>
    </xdr:from>
    <xdr:to>
      <xdr:col>10</xdr:col>
      <xdr:colOff>204671</xdr:colOff>
      <xdr:row>15</xdr:row>
      <xdr:rowOff>171958</xdr:rowOff>
    </xdr:to>
    <xdr:pic macro="[0]!DataFinal7">
      <xdr:nvPicPr>
        <xdr:cNvPr id="54" name="Gráfico 5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4703" y="3434874"/>
          <a:ext cx="180525" cy="183402"/>
        </a:xfrm>
        <a:prstGeom prst="rect">
          <a:avLst/>
        </a:prstGeom>
      </xdr:spPr>
    </xdr:pic>
    <xdr:clientData/>
  </xdr:twoCellAnchor>
  <xdr:twoCellAnchor editAs="oneCell">
    <xdr:from>
      <xdr:col>10</xdr:col>
      <xdr:colOff>22720</xdr:colOff>
      <xdr:row>18</xdr:row>
      <xdr:rowOff>5028</xdr:rowOff>
    </xdr:from>
    <xdr:to>
      <xdr:col>10</xdr:col>
      <xdr:colOff>203245</xdr:colOff>
      <xdr:row>18</xdr:row>
      <xdr:rowOff>185028</xdr:rowOff>
    </xdr:to>
    <xdr:pic macro="[0]!DataFinal10">
      <xdr:nvPicPr>
        <xdr:cNvPr id="55" name="Gráfico 5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277" y="4022846"/>
          <a:ext cx="180525" cy="1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23373</xdr:colOff>
      <xdr:row>16</xdr:row>
      <xdr:rowOff>185085</xdr:rowOff>
    </xdr:from>
    <xdr:to>
      <xdr:col>10</xdr:col>
      <xdr:colOff>203898</xdr:colOff>
      <xdr:row>17</xdr:row>
      <xdr:rowOff>177987</xdr:rowOff>
    </xdr:to>
    <xdr:pic macro="[0]!DataFinal9">
      <xdr:nvPicPr>
        <xdr:cNvPr id="56" name="Gráfico 5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930" y="3821903"/>
          <a:ext cx="180525" cy="1834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20</xdr:row>
          <xdr:rowOff>19050</xdr:rowOff>
        </xdr:from>
        <xdr:to>
          <xdr:col>16</xdr:col>
          <xdr:colOff>581025</xdr:colOff>
          <xdr:row>20</xdr:row>
          <xdr:rowOff>371475</xdr:rowOff>
        </xdr:to>
        <xdr:sp macro="" textlink="">
          <xdr:nvSpPr>
            <xdr:cNvPr id="3131" name="Drop Dow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xmlns="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19734</xdr:colOff>
      <xdr:row>40</xdr:row>
      <xdr:rowOff>0</xdr:rowOff>
    </xdr:from>
    <xdr:to>
      <xdr:col>10</xdr:col>
      <xdr:colOff>200259</xdr:colOff>
      <xdr:row>40</xdr:row>
      <xdr:rowOff>185496</xdr:rowOff>
    </xdr:to>
    <xdr:pic macro="[0]!DataParada">
      <xdr:nvPicPr>
        <xdr:cNvPr id="58" name="Gráfico 5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076196" y="8608443"/>
          <a:ext cx="180525" cy="185496"/>
        </a:xfrm>
        <a:prstGeom prst="rect">
          <a:avLst/>
        </a:prstGeom>
      </xdr:spPr>
    </xdr:pic>
    <xdr:clientData/>
  </xdr:twoCellAnchor>
  <xdr:twoCellAnchor editAs="oneCell">
    <xdr:from>
      <xdr:col>9</xdr:col>
      <xdr:colOff>274269</xdr:colOff>
      <xdr:row>3</xdr:row>
      <xdr:rowOff>12991</xdr:rowOff>
    </xdr:from>
    <xdr:to>
      <xdr:col>9</xdr:col>
      <xdr:colOff>694515</xdr:colOff>
      <xdr:row>4</xdr:row>
      <xdr:rowOff>5797</xdr:rowOff>
    </xdr:to>
    <xdr:pic macro="[0]!Buscar_PelaTela">
      <xdr:nvPicPr>
        <xdr:cNvPr id="15" name="Gráfico 14" descr="Binóculos com preenchimento sólid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6"/>
            </a:ext>
          </a:extLst>
        </a:blip>
        <a:stretch>
          <a:fillRect/>
        </a:stretch>
      </xdr:blipFill>
      <xdr:spPr>
        <a:xfrm rot="21600000">
          <a:off x="5842731" y="864746"/>
          <a:ext cx="420246" cy="416140"/>
        </a:xfrm>
        <a:prstGeom prst="rect">
          <a:avLst/>
        </a:prstGeom>
      </xdr:spPr>
    </xdr:pic>
    <xdr:clientData/>
  </xdr:twoCellAnchor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60" name="Gráfico 5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0217" y="2326498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6205"/>
    <xdr:pic macro="[0]!DataInicio2">
      <xdr:nvPicPr>
        <xdr:cNvPr id="61" name="Gráfico 6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276" y="2523711"/>
          <a:ext cx="180525" cy="186205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62" name="Gráfico 6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8887" y="2712751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000"/>
    <xdr:pic macro="[0]!DataInicio4">
      <xdr:nvPicPr>
        <xdr:cNvPr id="63" name="Gráfico 6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2909964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64" name="Gráfico 6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310115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000"/>
    <xdr:pic macro="[0]!DataInicio6">
      <xdr:nvPicPr>
        <xdr:cNvPr id="65" name="Gráfico 6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6501" y="329836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66" name="Gráfico 6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675" y="3684616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7101"/>
    <xdr:pic macro="[0]!DataInicio7">
      <xdr:nvPicPr>
        <xdr:cNvPr id="67" name="Gráfico 6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4328" y="3476275"/>
          <a:ext cx="180525" cy="187101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5496"/>
    <xdr:pic macro="[0]!DataInicio10">
      <xdr:nvPicPr>
        <xdr:cNvPr id="68" name="Gráfico 6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2902" y="4079043"/>
          <a:ext cx="180525" cy="185496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7101"/>
    <xdr:pic macro="[0]!DataInicio9">
      <xdr:nvPicPr>
        <xdr:cNvPr id="69" name="Gráfico 6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555" y="387070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70" name="Gráfico 6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4501" y="2321415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71" name="Gráfico 7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560" y="251862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3699"/>
    <xdr:pic macro="[0]!DataFinal3">
      <xdr:nvPicPr>
        <xdr:cNvPr id="72" name="Gráfico 7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171" y="2703969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73" name="Gráfico 7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2904881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3699"/>
    <xdr:pic macro="[0]!DataFinal5">
      <xdr:nvPicPr>
        <xdr:cNvPr id="74" name="Gráfico 7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3092368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75" name="Gráfico 7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0785" y="329328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3699"/>
    <xdr:pic macro="[0]!DataFinal8">
      <xdr:nvPicPr>
        <xdr:cNvPr id="76" name="Gráfico 7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959" y="3675834"/>
          <a:ext cx="180525" cy="183699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7101"/>
    <xdr:pic macro="[0]!DataFinal7">
      <xdr:nvPicPr>
        <xdr:cNvPr id="77" name="Gráfico 7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8612" y="347119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78" name="Gráfico 7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186" y="407396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7101"/>
    <xdr:pic macro="[0]!DataFinal9">
      <xdr:nvPicPr>
        <xdr:cNvPr id="79" name="Gráfico 7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839" y="3865619"/>
          <a:ext cx="180525" cy="187101"/>
        </a:xfrm>
        <a:prstGeom prst="rect">
          <a:avLst/>
        </a:prstGeom>
      </xdr:spPr>
    </xdr:pic>
    <xdr:clientData/>
  </xdr:oneCellAnchor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80" name="Gráfico 7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0217" y="2326498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6205"/>
    <xdr:pic macro="[0]!DataInicio2">
      <xdr:nvPicPr>
        <xdr:cNvPr id="81" name="Gráfico 8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276" y="2523711"/>
          <a:ext cx="180525" cy="186205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82" name="Gráfico 8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8887" y="2712751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000"/>
    <xdr:pic macro="[0]!DataInicio4">
      <xdr:nvPicPr>
        <xdr:cNvPr id="83" name="Gráfico 8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2909964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84" name="Gráfico 8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310115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000"/>
    <xdr:pic macro="[0]!DataInicio6">
      <xdr:nvPicPr>
        <xdr:cNvPr id="85" name="Gráfico 8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6501" y="329836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86" name="Gráfico 8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675" y="3684616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7101"/>
    <xdr:pic macro="[0]!DataInicio7">
      <xdr:nvPicPr>
        <xdr:cNvPr id="87" name="Gráfico 8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4328" y="3476275"/>
          <a:ext cx="180525" cy="187101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5496"/>
    <xdr:pic macro="[0]!DataInicio10">
      <xdr:nvPicPr>
        <xdr:cNvPr id="88" name="Gráfico 8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2902" y="4079043"/>
          <a:ext cx="180525" cy="185496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7101"/>
    <xdr:pic macro="[0]!DataInicio9">
      <xdr:nvPicPr>
        <xdr:cNvPr id="89" name="Gráfico 8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555" y="387070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90" name="Gráfico 8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4501" y="2321415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91" name="Gráfico 9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560" y="251862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3699"/>
    <xdr:pic macro="[0]!DataFinal3">
      <xdr:nvPicPr>
        <xdr:cNvPr id="92" name="Gráfico 9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171" y="2703969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93" name="Gráfico 9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2904881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3699"/>
    <xdr:pic macro="[0]!DataFinal5">
      <xdr:nvPicPr>
        <xdr:cNvPr id="94" name="Gráfico 9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3092368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95" name="Gráfico 9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0785" y="329328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3699"/>
    <xdr:pic macro="[0]!DataFinal8">
      <xdr:nvPicPr>
        <xdr:cNvPr id="96" name="Gráfico 9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959" y="3675834"/>
          <a:ext cx="180525" cy="183699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7101"/>
    <xdr:pic macro="[0]!DataFinal7">
      <xdr:nvPicPr>
        <xdr:cNvPr id="97" name="Gráfico 9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8612" y="347119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98" name="Gráfico 9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186" y="407396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7101"/>
    <xdr:pic macro="[0]!DataFinal9">
      <xdr:nvPicPr>
        <xdr:cNvPr id="99" name="Gráfico 9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839" y="3865619"/>
          <a:ext cx="180525" cy="18710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552450</xdr:colOff>
          <xdr:row>10</xdr:row>
          <xdr:rowOff>9525</xdr:rowOff>
        </xdr:to>
        <xdr:sp macro="" textlink="">
          <xdr:nvSpPr>
            <xdr:cNvPr id="3132" name="Drop Dow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xmlns="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552450</xdr:colOff>
          <xdr:row>11</xdr:row>
          <xdr:rowOff>9525</xdr:rowOff>
        </xdr:to>
        <xdr:sp macro="" textlink="">
          <xdr:nvSpPr>
            <xdr:cNvPr id="3133" name="Drop Dow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xmlns="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552450</xdr:colOff>
          <xdr:row>12</xdr:row>
          <xdr:rowOff>9525</xdr:rowOff>
        </xdr:to>
        <xdr:sp macro="" textlink="">
          <xdr:nvSpPr>
            <xdr:cNvPr id="3134" name="Drop Dow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xmlns="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552450</xdr:colOff>
          <xdr:row>13</xdr:row>
          <xdr:rowOff>9525</xdr:rowOff>
        </xdr:to>
        <xdr:sp macro="" textlink="">
          <xdr:nvSpPr>
            <xdr:cNvPr id="3135" name="Drop Dow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xmlns="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552450</xdr:colOff>
          <xdr:row>14</xdr:row>
          <xdr:rowOff>9525</xdr:rowOff>
        </xdr:to>
        <xdr:sp macro="" textlink="">
          <xdr:nvSpPr>
            <xdr:cNvPr id="3136" name="Drop Dow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xmlns="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552450</xdr:colOff>
          <xdr:row>15</xdr:row>
          <xdr:rowOff>9525</xdr:rowOff>
        </xdr:to>
        <xdr:sp macro="" textlink="">
          <xdr:nvSpPr>
            <xdr:cNvPr id="3137" name="Drop Dow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xmlns="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552450</xdr:colOff>
          <xdr:row>16</xdr:row>
          <xdr:rowOff>9525</xdr:rowOff>
        </xdr:to>
        <xdr:sp macro="" textlink="">
          <xdr:nvSpPr>
            <xdr:cNvPr id="3138" name="Drop Dow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xmlns="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552450</xdr:colOff>
          <xdr:row>17</xdr:row>
          <xdr:rowOff>9525</xdr:rowOff>
        </xdr:to>
        <xdr:sp macro="" textlink="">
          <xdr:nvSpPr>
            <xdr:cNvPr id="3139" name="Drop Dow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xmlns="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552450</xdr:colOff>
          <xdr:row>18</xdr:row>
          <xdr:rowOff>9525</xdr:rowOff>
        </xdr:to>
        <xdr:sp macro="" textlink="">
          <xdr:nvSpPr>
            <xdr:cNvPr id="3140" name="Drop Dow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xmlns="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552450</xdr:colOff>
          <xdr:row>19</xdr:row>
          <xdr:rowOff>9525</xdr:rowOff>
        </xdr:to>
        <xdr:sp macro="" textlink="">
          <xdr:nvSpPr>
            <xdr:cNvPr id="3141" name="Drop Dow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xmlns="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110" name="Gráfico 10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0217" y="2326498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6205"/>
    <xdr:pic macro="[0]!DataInicio2">
      <xdr:nvPicPr>
        <xdr:cNvPr id="111" name="Gráfico 11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276" y="2523711"/>
          <a:ext cx="180525" cy="186205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112" name="Gráfico 11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8887" y="2712751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000"/>
    <xdr:pic macro="[0]!DataInicio4">
      <xdr:nvPicPr>
        <xdr:cNvPr id="113" name="Gráfico 11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2909964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114" name="Gráfico 11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310115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000"/>
    <xdr:pic macro="[0]!DataInicio6">
      <xdr:nvPicPr>
        <xdr:cNvPr id="115" name="Gráfico 11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6501" y="329836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116" name="Gráfico 11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675" y="3684616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7101"/>
    <xdr:pic macro="[0]!DataInicio7">
      <xdr:nvPicPr>
        <xdr:cNvPr id="117" name="Gráfico 11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4328" y="3476275"/>
          <a:ext cx="180525" cy="187101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5496"/>
    <xdr:pic macro="[0]!DataInicio10">
      <xdr:nvPicPr>
        <xdr:cNvPr id="118" name="Gráfico 11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2902" y="4079043"/>
          <a:ext cx="180525" cy="185496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7101"/>
    <xdr:pic macro="[0]!DataInicio9">
      <xdr:nvPicPr>
        <xdr:cNvPr id="119" name="Gráfico 11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555" y="387070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120" name="Gráfico 11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4501" y="2321415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121" name="Gráfico 12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560" y="251862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3699"/>
    <xdr:pic macro="[0]!DataFinal3">
      <xdr:nvPicPr>
        <xdr:cNvPr id="122" name="Gráfico 12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171" y="2703969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123" name="Gráfico 12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2904881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3699"/>
    <xdr:pic macro="[0]!DataFinal5">
      <xdr:nvPicPr>
        <xdr:cNvPr id="124" name="Gráfico 12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3092368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125" name="Gráfico 12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0785" y="329328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3699"/>
    <xdr:pic macro="[0]!DataFinal8">
      <xdr:nvPicPr>
        <xdr:cNvPr id="126" name="Gráfico 12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959" y="3675834"/>
          <a:ext cx="180525" cy="183699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7101"/>
    <xdr:pic macro="[0]!DataFinal7">
      <xdr:nvPicPr>
        <xdr:cNvPr id="127" name="Gráfico 12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8612" y="347119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128" name="Gráfico 12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186" y="407396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7101"/>
    <xdr:pic macro="[0]!DataFinal9">
      <xdr:nvPicPr>
        <xdr:cNvPr id="129" name="Gráfico 12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839" y="3865619"/>
          <a:ext cx="180525" cy="18710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552450</xdr:colOff>
          <xdr:row>10</xdr:row>
          <xdr:rowOff>9525</xdr:rowOff>
        </xdr:to>
        <xdr:sp macro="" textlink="">
          <xdr:nvSpPr>
            <xdr:cNvPr id="3142" name="Drop Dow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xmlns="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552450</xdr:colOff>
          <xdr:row>11</xdr:row>
          <xdr:rowOff>9525</xdr:rowOff>
        </xdr:to>
        <xdr:sp macro="" textlink="">
          <xdr:nvSpPr>
            <xdr:cNvPr id="3143" name="Drop Dow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xmlns="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552450</xdr:colOff>
          <xdr:row>12</xdr:row>
          <xdr:rowOff>9525</xdr:rowOff>
        </xdr:to>
        <xdr:sp macro="" textlink="">
          <xdr:nvSpPr>
            <xdr:cNvPr id="3144" name="Drop Dow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xmlns="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552450</xdr:colOff>
          <xdr:row>13</xdr:row>
          <xdr:rowOff>9525</xdr:rowOff>
        </xdr:to>
        <xdr:sp macro="" textlink="">
          <xdr:nvSpPr>
            <xdr:cNvPr id="3145" name="Drop Dow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xmlns="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552450</xdr:colOff>
          <xdr:row>14</xdr:row>
          <xdr:rowOff>9525</xdr:rowOff>
        </xdr:to>
        <xdr:sp macro="" textlink="">
          <xdr:nvSpPr>
            <xdr:cNvPr id="3146" name="Drop Dow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xmlns="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552450</xdr:colOff>
          <xdr:row>15</xdr:row>
          <xdr:rowOff>9525</xdr:rowOff>
        </xdr:to>
        <xdr:sp macro="" textlink="">
          <xdr:nvSpPr>
            <xdr:cNvPr id="3147" name="Drop Dow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xmlns="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552450</xdr:colOff>
          <xdr:row>16</xdr:row>
          <xdr:rowOff>9525</xdr:rowOff>
        </xdr:to>
        <xdr:sp macro="" textlink="">
          <xdr:nvSpPr>
            <xdr:cNvPr id="3148" name="Drop Dow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xmlns="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552450</xdr:colOff>
          <xdr:row>17</xdr:row>
          <xdr:rowOff>9525</xdr:rowOff>
        </xdr:to>
        <xdr:sp macro="" textlink="">
          <xdr:nvSpPr>
            <xdr:cNvPr id="3149" name="Drop Dow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xmlns="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552450</xdr:colOff>
          <xdr:row>18</xdr:row>
          <xdr:rowOff>9525</xdr:rowOff>
        </xdr:to>
        <xdr:sp macro="" textlink="">
          <xdr:nvSpPr>
            <xdr:cNvPr id="3150" name="Drop Dow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xmlns="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552450</xdr:colOff>
          <xdr:row>19</xdr:row>
          <xdr:rowOff>9525</xdr:rowOff>
        </xdr:to>
        <xdr:sp macro="" textlink="">
          <xdr:nvSpPr>
            <xdr:cNvPr id="3151" name="Drop Dow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xmlns="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140" name="Gráfico 13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0217" y="2326498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6205"/>
    <xdr:pic macro="[0]!DataInicio2">
      <xdr:nvPicPr>
        <xdr:cNvPr id="141" name="Gráfico 14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276" y="2523711"/>
          <a:ext cx="180525" cy="186205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142" name="Gráfico 14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8887" y="2712751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000"/>
    <xdr:pic macro="[0]!DataInicio4">
      <xdr:nvPicPr>
        <xdr:cNvPr id="143" name="Gráfico 14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2909964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144" name="Gráfico 14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310115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000"/>
    <xdr:pic macro="[0]!DataInicio6">
      <xdr:nvPicPr>
        <xdr:cNvPr id="145" name="Gráfico 14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6501" y="329836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146" name="Gráfico 14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675" y="3684616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7101"/>
    <xdr:pic macro="[0]!DataInicio7">
      <xdr:nvPicPr>
        <xdr:cNvPr id="147" name="Gráfico 14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4328" y="3476275"/>
          <a:ext cx="180525" cy="187101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5496"/>
    <xdr:pic macro="[0]!DataInicio10">
      <xdr:nvPicPr>
        <xdr:cNvPr id="148" name="Gráfico 14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2902" y="4079043"/>
          <a:ext cx="180525" cy="185496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7101"/>
    <xdr:pic macro="[0]!DataInicio9">
      <xdr:nvPicPr>
        <xdr:cNvPr id="149" name="Gráfico 14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555" y="387070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150" name="Gráfico 14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4501" y="2321415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151" name="Gráfico 15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560" y="251862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3699"/>
    <xdr:pic macro="[0]!DataFinal3">
      <xdr:nvPicPr>
        <xdr:cNvPr id="152" name="Gráfico 15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171" y="2703969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153" name="Gráfico 15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2904881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3699"/>
    <xdr:pic macro="[0]!DataFinal5">
      <xdr:nvPicPr>
        <xdr:cNvPr id="154" name="Gráfico 15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3092368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155" name="Gráfico 15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0785" y="329328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3699"/>
    <xdr:pic macro="[0]!DataFinal8">
      <xdr:nvPicPr>
        <xdr:cNvPr id="156" name="Gráfico 15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959" y="3675834"/>
          <a:ext cx="180525" cy="183699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7101"/>
    <xdr:pic macro="[0]!DataFinal7">
      <xdr:nvPicPr>
        <xdr:cNvPr id="157" name="Gráfico 15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8612" y="347119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158" name="Gráfico 15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186" y="407396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7101"/>
    <xdr:pic macro="[0]!DataFinal9">
      <xdr:nvPicPr>
        <xdr:cNvPr id="159" name="Gráfico 15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839" y="3865619"/>
          <a:ext cx="180525" cy="18710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552450</xdr:colOff>
          <xdr:row>10</xdr:row>
          <xdr:rowOff>9525</xdr:rowOff>
        </xdr:to>
        <xdr:sp macro="" textlink="">
          <xdr:nvSpPr>
            <xdr:cNvPr id="3152" name="Drop Dow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xmlns="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552450</xdr:colOff>
          <xdr:row>11</xdr:row>
          <xdr:rowOff>9525</xdr:rowOff>
        </xdr:to>
        <xdr:sp macro="" textlink="">
          <xdr:nvSpPr>
            <xdr:cNvPr id="3153" name="Drop Dow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xmlns="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552450</xdr:colOff>
          <xdr:row>12</xdr:row>
          <xdr:rowOff>9525</xdr:rowOff>
        </xdr:to>
        <xdr:sp macro="" textlink="">
          <xdr:nvSpPr>
            <xdr:cNvPr id="3154" name="Drop Dow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xmlns=""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552450</xdr:colOff>
          <xdr:row>13</xdr:row>
          <xdr:rowOff>9525</xdr:rowOff>
        </xdr:to>
        <xdr:sp macro="" textlink="">
          <xdr:nvSpPr>
            <xdr:cNvPr id="3155" name="Drop Dow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xmlns="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552450</xdr:colOff>
          <xdr:row>14</xdr:row>
          <xdr:rowOff>9525</xdr:rowOff>
        </xdr:to>
        <xdr:sp macro="" textlink="">
          <xdr:nvSpPr>
            <xdr:cNvPr id="3156" name="Drop Dow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xmlns=""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552450</xdr:colOff>
          <xdr:row>15</xdr:row>
          <xdr:rowOff>9525</xdr:rowOff>
        </xdr:to>
        <xdr:sp macro="" textlink="">
          <xdr:nvSpPr>
            <xdr:cNvPr id="3157" name="Drop Dow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xmlns="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552450</xdr:colOff>
          <xdr:row>16</xdr:row>
          <xdr:rowOff>9525</xdr:rowOff>
        </xdr:to>
        <xdr:sp macro="" textlink="">
          <xdr:nvSpPr>
            <xdr:cNvPr id="3158" name="Drop Dow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xmlns="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552450</xdr:colOff>
          <xdr:row>17</xdr:row>
          <xdr:rowOff>9525</xdr:rowOff>
        </xdr:to>
        <xdr:sp macro="" textlink="">
          <xdr:nvSpPr>
            <xdr:cNvPr id="3159" name="Drop Dow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xmlns="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552450</xdr:colOff>
          <xdr:row>18</xdr:row>
          <xdr:rowOff>9525</xdr:rowOff>
        </xdr:to>
        <xdr:sp macro="" textlink="">
          <xdr:nvSpPr>
            <xdr:cNvPr id="3160" name="Drop Dow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xmlns=""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552450</xdr:colOff>
          <xdr:row>19</xdr:row>
          <xdr:rowOff>9525</xdr:rowOff>
        </xdr:to>
        <xdr:sp macro="" textlink="">
          <xdr:nvSpPr>
            <xdr:cNvPr id="3161" name="Drop Dow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xmlns=""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170" name="Gráfico 16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0217" y="2326498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6205"/>
    <xdr:pic macro="[0]!DataInicio2">
      <xdr:nvPicPr>
        <xdr:cNvPr id="171" name="Gráfico 17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276" y="2523711"/>
          <a:ext cx="180525" cy="186205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172" name="Gráfico 17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8887" y="2712751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000"/>
    <xdr:pic macro="[0]!DataInicio4">
      <xdr:nvPicPr>
        <xdr:cNvPr id="173" name="Gráfico 17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2909964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174" name="Gráfico 17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1946" y="310115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000"/>
    <xdr:pic macro="[0]!DataInicio6">
      <xdr:nvPicPr>
        <xdr:cNvPr id="175" name="Gráfico 17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16501" y="329836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176" name="Gráfico 17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675" y="3684616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7101"/>
    <xdr:pic macro="[0]!DataInicio7">
      <xdr:nvPicPr>
        <xdr:cNvPr id="177" name="Gráfico 17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4328" y="3476275"/>
          <a:ext cx="180525" cy="187101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5496"/>
    <xdr:pic macro="[0]!DataInicio10">
      <xdr:nvPicPr>
        <xdr:cNvPr id="178" name="Gráfico 17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2902" y="4079043"/>
          <a:ext cx="180525" cy="185496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7101"/>
    <xdr:pic macro="[0]!DataInicio9">
      <xdr:nvPicPr>
        <xdr:cNvPr id="179" name="Gráfico 17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2923555" y="387070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180" name="Gráfico 17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4501" y="2321415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181" name="Gráfico 18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560" y="251862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3699"/>
    <xdr:pic macro="[0]!DataFinal3">
      <xdr:nvPicPr>
        <xdr:cNvPr id="182" name="Gráfico 18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3171" y="2703969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183" name="Gráfico 18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2904881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3699"/>
    <xdr:pic macro="[0]!DataFinal5">
      <xdr:nvPicPr>
        <xdr:cNvPr id="184" name="Gráfico 18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6230" y="3092368"/>
          <a:ext cx="185173" cy="183699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185" name="Gráfico 18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0785" y="329328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3699"/>
    <xdr:pic macro="[0]!DataFinal8">
      <xdr:nvPicPr>
        <xdr:cNvPr id="186" name="Gráfico 18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959" y="3675834"/>
          <a:ext cx="180525" cy="183699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7101"/>
    <xdr:pic macro="[0]!DataFinal7">
      <xdr:nvPicPr>
        <xdr:cNvPr id="187" name="Gráfico 18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8612" y="3471192"/>
          <a:ext cx="180525" cy="187101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188" name="Gráfico 18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186" y="407396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7101"/>
    <xdr:pic macro="[0]!DataFinal9">
      <xdr:nvPicPr>
        <xdr:cNvPr id="189" name="Gráfico 18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5867839" y="3865619"/>
          <a:ext cx="180525" cy="187101"/>
        </a:xfrm>
        <a:prstGeom prst="rect">
          <a:avLst/>
        </a:prstGeom>
      </xdr:spPr>
    </xdr:pic>
    <xdr:clientData/>
  </xdr:oneCellAnchor>
  <xdr:twoCellAnchor editAs="oneCell">
    <xdr:from>
      <xdr:col>7</xdr:col>
      <xdr:colOff>409695</xdr:colOff>
      <xdr:row>9</xdr:row>
      <xdr:rowOff>15336</xdr:rowOff>
    </xdr:from>
    <xdr:to>
      <xdr:col>8</xdr:col>
      <xdr:colOff>7088</xdr:colOff>
      <xdr:row>10</xdr:row>
      <xdr:rowOff>4067</xdr:rowOff>
    </xdr:to>
    <xdr:pic macro="[0]!HoraInicio1">
      <xdr:nvPicPr>
        <xdr:cNvPr id="16" name="Gráfico 15" descr="Relógio com preenchimento sólid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20851" y="2351657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409333</xdr:colOff>
      <xdr:row>10</xdr:row>
      <xdr:rowOff>14977</xdr:rowOff>
    </xdr:from>
    <xdr:to>
      <xdr:col>8</xdr:col>
      <xdr:colOff>7516</xdr:colOff>
      <xdr:row>11</xdr:row>
      <xdr:rowOff>3709</xdr:rowOff>
    </xdr:to>
    <xdr:pic macro="[0]!HoraInicio2">
      <xdr:nvPicPr>
        <xdr:cNvPr id="193" name="Gráfico 192" descr="Relógio com preenchimento sólido">
          <a:extLst>
            <a:ext uri="{FF2B5EF4-FFF2-40B4-BE49-F238E27FC236}">
              <a16:creationId xmlns:a16="http://schemas.microsoft.com/office/drawing/2014/main" xmlns="" id="{00000000-0008-0000-00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20489" y="2540001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408971</xdr:colOff>
      <xdr:row>11</xdr:row>
      <xdr:rowOff>14619</xdr:rowOff>
    </xdr:from>
    <xdr:to>
      <xdr:col>8</xdr:col>
      <xdr:colOff>7154</xdr:colOff>
      <xdr:row>12</xdr:row>
      <xdr:rowOff>3351</xdr:rowOff>
    </xdr:to>
    <xdr:pic macro="[0]!HoraInicio3">
      <xdr:nvPicPr>
        <xdr:cNvPr id="194" name="Gráfico 193" descr="Relógio com preenchimento sólido">
          <a:extLst>
            <a:ext uri="{FF2B5EF4-FFF2-40B4-BE49-F238E27FC236}">
              <a16:creationId xmlns:a16="http://schemas.microsoft.com/office/drawing/2014/main" xmlns="" id="{00000000-0008-0000-00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20127" y="2728345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409336</xdr:colOff>
      <xdr:row>12</xdr:row>
      <xdr:rowOff>5992</xdr:rowOff>
    </xdr:from>
    <xdr:to>
      <xdr:col>8</xdr:col>
      <xdr:colOff>7519</xdr:colOff>
      <xdr:row>12</xdr:row>
      <xdr:rowOff>183426</xdr:rowOff>
    </xdr:to>
    <xdr:pic macro="[0]!HoraInicio4">
      <xdr:nvPicPr>
        <xdr:cNvPr id="195" name="Gráfico 194" descr="Relógio com preenchimento sólido">
          <a:extLst>
            <a:ext uri="{FF2B5EF4-FFF2-40B4-BE49-F238E27FC236}">
              <a16:creationId xmlns:a16="http://schemas.microsoft.com/office/drawing/2014/main" xmlns="" id="{00000000-0008-0000-00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20492" y="2908421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408974</xdr:colOff>
      <xdr:row>13</xdr:row>
      <xdr:rowOff>5633</xdr:rowOff>
    </xdr:from>
    <xdr:to>
      <xdr:col>8</xdr:col>
      <xdr:colOff>7157</xdr:colOff>
      <xdr:row>13</xdr:row>
      <xdr:rowOff>183067</xdr:rowOff>
    </xdr:to>
    <xdr:pic macro="[0]!HoraInicio5">
      <xdr:nvPicPr>
        <xdr:cNvPr id="196" name="Gráfico 195" descr="Relógio com preenchimento sólido">
          <a:extLst>
            <a:ext uri="{FF2B5EF4-FFF2-40B4-BE49-F238E27FC236}">
              <a16:creationId xmlns:a16="http://schemas.microsoft.com/office/drawing/2014/main" xmlns="" id="{00000000-0008-0000-00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20130" y="3096765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408612</xdr:colOff>
      <xdr:row>14</xdr:row>
      <xdr:rowOff>5274</xdr:rowOff>
    </xdr:from>
    <xdr:to>
      <xdr:col>8</xdr:col>
      <xdr:colOff>6795</xdr:colOff>
      <xdr:row>14</xdr:row>
      <xdr:rowOff>182708</xdr:rowOff>
    </xdr:to>
    <xdr:pic macro="[0]!HoraInicio6">
      <xdr:nvPicPr>
        <xdr:cNvPr id="197" name="Gráfico 196" descr="Relógio com preenchimento sólido">
          <a:extLst>
            <a:ext uri="{FF2B5EF4-FFF2-40B4-BE49-F238E27FC236}">
              <a16:creationId xmlns:a16="http://schemas.microsoft.com/office/drawing/2014/main" xmlns="" id="{00000000-0008-0000-00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19768" y="3285109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408612</xdr:colOff>
      <xdr:row>15</xdr:row>
      <xdr:rowOff>14259</xdr:rowOff>
    </xdr:from>
    <xdr:to>
      <xdr:col>8</xdr:col>
      <xdr:colOff>6795</xdr:colOff>
      <xdr:row>16</xdr:row>
      <xdr:rowOff>2990</xdr:rowOff>
    </xdr:to>
    <xdr:pic macro="[0]!HoraInicio7">
      <xdr:nvPicPr>
        <xdr:cNvPr id="198" name="Gráfico 197" descr="Relógio com preenchimento sólido">
          <a:extLst>
            <a:ext uri="{FF2B5EF4-FFF2-40B4-BE49-F238E27FC236}">
              <a16:creationId xmlns:a16="http://schemas.microsoft.com/office/drawing/2014/main" xmlns="" id="{00000000-0008-0000-00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19768" y="3482797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408977</xdr:colOff>
      <xdr:row>16</xdr:row>
      <xdr:rowOff>5632</xdr:rowOff>
    </xdr:from>
    <xdr:to>
      <xdr:col>8</xdr:col>
      <xdr:colOff>7160</xdr:colOff>
      <xdr:row>16</xdr:row>
      <xdr:rowOff>183066</xdr:rowOff>
    </xdr:to>
    <xdr:pic macro="[0]!HoraInicio8">
      <xdr:nvPicPr>
        <xdr:cNvPr id="199" name="Gráfico 198" descr="Relógio com preenchimento sólido">
          <a:extLst>
            <a:ext uri="{FF2B5EF4-FFF2-40B4-BE49-F238E27FC236}">
              <a16:creationId xmlns:a16="http://schemas.microsoft.com/office/drawing/2014/main" xmlns="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20133" y="3662873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408615</xdr:colOff>
      <xdr:row>17</xdr:row>
      <xdr:rowOff>5274</xdr:rowOff>
    </xdr:from>
    <xdr:to>
      <xdr:col>8</xdr:col>
      <xdr:colOff>6798</xdr:colOff>
      <xdr:row>17</xdr:row>
      <xdr:rowOff>182708</xdr:rowOff>
    </xdr:to>
    <xdr:pic macro="[0]!HoraInicio9">
      <xdr:nvPicPr>
        <xdr:cNvPr id="200" name="Gráfico 199" descr="Relógio com preenchimento sólido">
          <a:extLst>
            <a:ext uri="{FF2B5EF4-FFF2-40B4-BE49-F238E27FC236}">
              <a16:creationId xmlns:a16="http://schemas.microsoft.com/office/drawing/2014/main" xmlns="" id="{00000000-0008-0000-00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19771" y="3851217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7</xdr:col>
      <xdr:colOff>408253</xdr:colOff>
      <xdr:row>18</xdr:row>
      <xdr:rowOff>4915</xdr:rowOff>
    </xdr:from>
    <xdr:to>
      <xdr:col>8</xdr:col>
      <xdr:colOff>6436</xdr:colOff>
      <xdr:row>18</xdr:row>
      <xdr:rowOff>182349</xdr:rowOff>
    </xdr:to>
    <xdr:pic macro="[0]!HoraInicio10">
      <xdr:nvPicPr>
        <xdr:cNvPr id="201" name="Gráfico 200" descr="Relógio com preenchimento sólido">
          <a:extLst>
            <a:ext uri="{FF2B5EF4-FFF2-40B4-BE49-F238E27FC236}">
              <a16:creationId xmlns:a16="http://schemas.microsoft.com/office/drawing/2014/main" xmlns="" id="{00000000-0008-0000-00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119409" y="4039561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400350</xdr:colOff>
      <xdr:row>9</xdr:row>
      <xdr:rowOff>14977</xdr:rowOff>
    </xdr:from>
    <xdr:to>
      <xdr:col>12</xdr:col>
      <xdr:colOff>574735</xdr:colOff>
      <xdr:row>10</xdr:row>
      <xdr:rowOff>3708</xdr:rowOff>
    </xdr:to>
    <xdr:pic macro="[0]!HoraFinal1">
      <xdr:nvPicPr>
        <xdr:cNvPr id="202" name="Gráfico 201" descr="Relógio com preenchimento sólido">
          <a:extLst>
            <a:ext uri="{FF2B5EF4-FFF2-40B4-BE49-F238E27FC236}">
              <a16:creationId xmlns:a16="http://schemas.microsoft.com/office/drawing/2014/main" xmlns="" id="{00000000-0008-0000-00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8864" y="2351298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399988</xdr:colOff>
      <xdr:row>10</xdr:row>
      <xdr:rowOff>14618</xdr:rowOff>
    </xdr:from>
    <xdr:to>
      <xdr:col>12</xdr:col>
      <xdr:colOff>574373</xdr:colOff>
      <xdr:row>11</xdr:row>
      <xdr:rowOff>3350</xdr:rowOff>
    </xdr:to>
    <xdr:pic macro="[0]!HoraFinal2">
      <xdr:nvPicPr>
        <xdr:cNvPr id="203" name="Gráfico 202" descr="Relógio com preenchimento sólido">
          <a:extLst>
            <a:ext uri="{FF2B5EF4-FFF2-40B4-BE49-F238E27FC236}">
              <a16:creationId xmlns:a16="http://schemas.microsoft.com/office/drawing/2014/main" xmlns="" id="{00000000-0008-0000-00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8502" y="2539642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399626</xdr:colOff>
      <xdr:row>11</xdr:row>
      <xdr:rowOff>14260</xdr:rowOff>
    </xdr:from>
    <xdr:to>
      <xdr:col>12</xdr:col>
      <xdr:colOff>574011</xdr:colOff>
      <xdr:row>12</xdr:row>
      <xdr:rowOff>2992</xdr:rowOff>
    </xdr:to>
    <xdr:pic macro="[0]!HoraFinal3">
      <xdr:nvPicPr>
        <xdr:cNvPr id="204" name="Gráfico 203" descr="Relógio com preenchimento sólido">
          <a:extLst>
            <a:ext uri="{FF2B5EF4-FFF2-40B4-BE49-F238E27FC236}">
              <a16:creationId xmlns:a16="http://schemas.microsoft.com/office/drawing/2014/main" xmlns="" id="{00000000-0008-0000-00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8140" y="2727986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399991</xdr:colOff>
      <xdr:row>12</xdr:row>
      <xdr:rowOff>5633</xdr:rowOff>
    </xdr:from>
    <xdr:to>
      <xdr:col>12</xdr:col>
      <xdr:colOff>574376</xdr:colOff>
      <xdr:row>12</xdr:row>
      <xdr:rowOff>183067</xdr:rowOff>
    </xdr:to>
    <xdr:pic macro="[0]!HoraFinal4">
      <xdr:nvPicPr>
        <xdr:cNvPr id="205" name="Gráfico 204" descr="Relógio com preenchimento sólido">
          <a:extLst>
            <a:ext uri="{FF2B5EF4-FFF2-40B4-BE49-F238E27FC236}">
              <a16:creationId xmlns:a16="http://schemas.microsoft.com/office/drawing/2014/main" xmlns="" id="{00000000-0008-0000-00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8505" y="2908062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399629</xdr:colOff>
      <xdr:row>13</xdr:row>
      <xdr:rowOff>5274</xdr:rowOff>
    </xdr:from>
    <xdr:to>
      <xdr:col>12</xdr:col>
      <xdr:colOff>574014</xdr:colOff>
      <xdr:row>13</xdr:row>
      <xdr:rowOff>182708</xdr:rowOff>
    </xdr:to>
    <xdr:pic macro="[0]!HoraFinal5">
      <xdr:nvPicPr>
        <xdr:cNvPr id="206" name="Gráfico 205" descr="Relógio com preenchimento sólido">
          <a:extLst>
            <a:ext uri="{FF2B5EF4-FFF2-40B4-BE49-F238E27FC236}">
              <a16:creationId xmlns:a16="http://schemas.microsoft.com/office/drawing/2014/main" xmlns="" id="{00000000-0008-0000-00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8143" y="3096406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399267</xdr:colOff>
      <xdr:row>14</xdr:row>
      <xdr:rowOff>4915</xdr:rowOff>
    </xdr:from>
    <xdr:to>
      <xdr:col>12</xdr:col>
      <xdr:colOff>573652</xdr:colOff>
      <xdr:row>14</xdr:row>
      <xdr:rowOff>182349</xdr:rowOff>
    </xdr:to>
    <xdr:pic macro="[0]!HoraFinal6">
      <xdr:nvPicPr>
        <xdr:cNvPr id="207" name="Gráfico 206" descr="Relógio com preenchimento sólido">
          <a:extLst>
            <a:ext uri="{FF2B5EF4-FFF2-40B4-BE49-F238E27FC236}">
              <a16:creationId xmlns:a16="http://schemas.microsoft.com/office/drawing/2014/main" xmlns="" id="{00000000-0008-0000-00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7781" y="3284750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399267</xdr:colOff>
      <xdr:row>15</xdr:row>
      <xdr:rowOff>13900</xdr:rowOff>
    </xdr:from>
    <xdr:to>
      <xdr:col>12</xdr:col>
      <xdr:colOff>573652</xdr:colOff>
      <xdr:row>16</xdr:row>
      <xdr:rowOff>2631</xdr:rowOff>
    </xdr:to>
    <xdr:pic macro="[0]!HoraFinal7">
      <xdr:nvPicPr>
        <xdr:cNvPr id="208" name="Gráfico 207" descr="Relógio com preenchimento sólido">
          <a:extLst>
            <a:ext uri="{FF2B5EF4-FFF2-40B4-BE49-F238E27FC236}">
              <a16:creationId xmlns:a16="http://schemas.microsoft.com/office/drawing/2014/main" xmlns="" id="{00000000-0008-0000-00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7781" y="3482438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399632</xdr:colOff>
      <xdr:row>16</xdr:row>
      <xdr:rowOff>5273</xdr:rowOff>
    </xdr:from>
    <xdr:to>
      <xdr:col>12</xdr:col>
      <xdr:colOff>574017</xdr:colOff>
      <xdr:row>16</xdr:row>
      <xdr:rowOff>182707</xdr:rowOff>
    </xdr:to>
    <xdr:pic macro="[0]!HoraFinal8">
      <xdr:nvPicPr>
        <xdr:cNvPr id="209" name="Gráfico 208" descr="Relógio com preenchimento sólido">
          <a:extLst>
            <a:ext uri="{FF2B5EF4-FFF2-40B4-BE49-F238E27FC236}">
              <a16:creationId xmlns:a16="http://schemas.microsoft.com/office/drawing/2014/main" xmlns="" id="{00000000-0008-0000-00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8146" y="3662514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399270</xdr:colOff>
      <xdr:row>17</xdr:row>
      <xdr:rowOff>4915</xdr:rowOff>
    </xdr:from>
    <xdr:to>
      <xdr:col>12</xdr:col>
      <xdr:colOff>573655</xdr:colOff>
      <xdr:row>17</xdr:row>
      <xdr:rowOff>182349</xdr:rowOff>
    </xdr:to>
    <xdr:pic macro="[0]!HoraFinal9">
      <xdr:nvPicPr>
        <xdr:cNvPr id="210" name="Gráfico 209" descr="Relógio com preenchimento sólido">
          <a:extLst>
            <a:ext uri="{FF2B5EF4-FFF2-40B4-BE49-F238E27FC236}">
              <a16:creationId xmlns:a16="http://schemas.microsoft.com/office/drawing/2014/main" xmlns="" id="{00000000-0008-0000-00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7784" y="3850858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12</xdr:col>
      <xdr:colOff>398908</xdr:colOff>
      <xdr:row>18</xdr:row>
      <xdr:rowOff>4556</xdr:rowOff>
    </xdr:from>
    <xdr:to>
      <xdr:col>12</xdr:col>
      <xdr:colOff>573293</xdr:colOff>
      <xdr:row>18</xdr:row>
      <xdr:rowOff>181990</xdr:rowOff>
    </xdr:to>
    <xdr:pic macro="[0]!HoraFinal10">
      <xdr:nvPicPr>
        <xdr:cNvPr id="211" name="Gráfico 210" descr="Relógio com preenchimento sólido">
          <a:extLst>
            <a:ext uri="{FF2B5EF4-FFF2-40B4-BE49-F238E27FC236}">
              <a16:creationId xmlns:a16="http://schemas.microsoft.com/office/drawing/2014/main" xmlns="" id="{00000000-0008-0000-00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057422" y="4039202"/>
          <a:ext cx="174385" cy="177434"/>
        </a:xfrm>
        <a:prstGeom prst="rect">
          <a:avLst/>
        </a:prstGeom>
      </xdr:spPr>
    </xdr:pic>
    <xdr:clientData/>
  </xdr:twoCellAnchor>
  <xdr:twoCellAnchor editAs="oneCell">
    <xdr:from>
      <xdr:col>10</xdr:col>
      <xdr:colOff>30136</xdr:colOff>
      <xdr:row>42</xdr:row>
      <xdr:rowOff>13181</xdr:rowOff>
    </xdr:from>
    <xdr:to>
      <xdr:col>10</xdr:col>
      <xdr:colOff>204521</xdr:colOff>
      <xdr:row>43</xdr:row>
      <xdr:rowOff>1912</xdr:rowOff>
    </xdr:to>
    <xdr:pic macro="[0]!HoraParada">
      <xdr:nvPicPr>
        <xdr:cNvPr id="212" name="Gráfico 211" descr="Relógio com preenchimento sólido">
          <a:extLst>
            <a:ext uri="{FF2B5EF4-FFF2-40B4-BE49-F238E27FC236}">
              <a16:creationId xmlns:a16="http://schemas.microsoft.com/office/drawing/2014/main" xmlns="" id="{00000000-0008-0000-00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6086598" y="8999030"/>
          <a:ext cx="174385" cy="1774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42</xdr:row>
          <xdr:rowOff>0</xdr:rowOff>
        </xdr:from>
        <xdr:to>
          <xdr:col>13</xdr:col>
          <xdr:colOff>323850</xdr:colOff>
          <xdr:row>43</xdr:row>
          <xdr:rowOff>9525</xdr:rowOff>
        </xdr:to>
        <xdr:sp macro="" textlink="">
          <xdr:nvSpPr>
            <xdr:cNvPr id="3162" name="Drop Dow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xmlns="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26954</xdr:colOff>
      <xdr:row>2</xdr:row>
      <xdr:rowOff>36295</xdr:rowOff>
    </xdr:from>
    <xdr:to>
      <xdr:col>2</xdr:col>
      <xdr:colOff>804554</xdr:colOff>
      <xdr:row>3</xdr:row>
      <xdr:rowOff>405733</xdr:rowOff>
    </xdr:to>
    <xdr:sp macro="[0]!SubModificarNota" textlink="">
      <xdr:nvSpPr>
        <xdr:cNvPr id="214" name="CaixaDeTexto 213">
          <a:extLst>
            <a:ext uri="{FF2B5EF4-FFF2-40B4-BE49-F238E27FC236}">
              <a16:creationId xmlns:a16="http://schemas.microsoft.com/office/drawing/2014/main" xmlns="" id="{00000000-0008-0000-0000-0000D6000000}"/>
            </a:ext>
          </a:extLst>
        </xdr:cNvPr>
        <xdr:cNvSpPr txBox="1"/>
      </xdr:nvSpPr>
      <xdr:spPr>
        <a:xfrm>
          <a:off x="1026145" y="605927"/>
          <a:ext cx="777600" cy="6495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 b="1">
              <a:solidFill>
                <a:srgbClr val="7030A0"/>
              </a:solidFill>
              <a:latin typeface="Arial" panose="020B0604020202020204" pitchFamily="34" charset="0"/>
              <a:cs typeface="Arial" panose="020B0604020202020204" pitchFamily="34" charset="0"/>
            </a:rPr>
            <a:t>Modificar</a:t>
          </a:r>
          <a:r>
            <a:rPr lang="pt-BR" sz="1050" b="1" baseline="0">
              <a:solidFill>
                <a:srgbClr val="7030A0"/>
              </a:solidFill>
              <a:latin typeface="Arial" panose="020B0604020202020204" pitchFamily="34" charset="0"/>
              <a:cs typeface="Arial" panose="020B0604020202020204" pitchFamily="34" charset="0"/>
            </a:rPr>
            <a:t> Nota de Avaria</a:t>
          </a:r>
          <a:endParaRPr lang="pt-BR" sz="1050" b="1">
            <a:solidFill>
              <a:srgbClr val="7030A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53199</xdr:colOff>
      <xdr:row>2</xdr:row>
      <xdr:rowOff>35583</xdr:rowOff>
    </xdr:from>
    <xdr:to>
      <xdr:col>1</xdr:col>
      <xdr:colOff>781771</xdr:colOff>
      <xdr:row>3</xdr:row>
      <xdr:rowOff>405021</xdr:rowOff>
    </xdr:to>
    <xdr:sp macro="[0]!CriarNota" textlink="">
      <xdr:nvSpPr>
        <xdr:cNvPr id="215" name="CaixaDeTexto 214">
          <a:extLst>
            <a:ext uri="{FF2B5EF4-FFF2-40B4-BE49-F238E27FC236}">
              <a16:creationId xmlns:a16="http://schemas.microsoft.com/office/drawing/2014/main" xmlns="" id="{00000000-0008-0000-0000-0000D7000000}"/>
            </a:ext>
          </a:extLst>
        </xdr:cNvPr>
        <xdr:cNvSpPr txBox="1"/>
      </xdr:nvSpPr>
      <xdr:spPr>
        <a:xfrm>
          <a:off x="232916" y="601691"/>
          <a:ext cx="728572" cy="64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Criar</a:t>
          </a:r>
          <a:r>
            <a:rPr lang="pt-BR" sz="105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Nota de Avaria</a:t>
          </a:r>
          <a:endParaRPr lang="pt-BR" sz="105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542925</xdr:colOff>
          <xdr:row>10</xdr:row>
          <xdr:rowOff>9525</xdr:rowOff>
        </xdr:to>
        <xdr:sp macro="" textlink="">
          <xdr:nvSpPr>
            <xdr:cNvPr id="3163" name="Drop Dow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xmlns="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542925</xdr:colOff>
          <xdr:row>11</xdr:row>
          <xdr:rowOff>9525</xdr:rowOff>
        </xdr:to>
        <xdr:sp macro="" textlink="">
          <xdr:nvSpPr>
            <xdr:cNvPr id="3164" name="Drop Dow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xmlns="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542925</xdr:colOff>
          <xdr:row>12</xdr:row>
          <xdr:rowOff>9525</xdr:rowOff>
        </xdr:to>
        <xdr:sp macro="" textlink="">
          <xdr:nvSpPr>
            <xdr:cNvPr id="3165" name="Drop Dow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xmlns="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542925</xdr:colOff>
          <xdr:row>13</xdr:row>
          <xdr:rowOff>9525</xdr:rowOff>
        </xdr:to>
        <xdr:sp macro="" textlink="">
          <xdr:nvSpPr>
            <xdr:cNvPr id="3166" name="Drop Dow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xmlns="" id="{00000000-0008-0000-00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542925</xdr:colOff>
          <xdr:row>14</xdr:row>
          <xdr:rowOff>9525</xdr:rowOff>
        </xdr:to>
        <xdr:sp macro="" textlink="">
          <xdr:nvSpPr>
            <xdr:cNvPr id="3167" name="Drop Dow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xmlns="" id="{00000000-0008-0000-00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542925</xdr:colOff>
          <xdr:row>15</xdr:row>
          <xdr:rowOff>9525</xdr:rowOff>
        </xdr:to>
        <xdr:sp macro="" textlink="">
          <xdr:nvSpPr>
            <xdr:cNvPr id="3168" name="Drop Dow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xmlns="" id="{00000000-0008-0000-00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542925</xdr:colOff>
          <xdr:row>16</xdr:row>
          <xdr:rowOff>9525</xdr:rowOff>
        </xdr:to>
        <xdr:sp macro="" textlink="">
          <xdr:nvSpPr>
            <xdr:cNvPr id="3169" name="Drop Dow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xmlns="" id="{00000000-0008-0000-00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542925</xdr:colOff>
          <xdr:row>17</xdr:row>
          <xdr:rowOff>9525</xdr:rowOff>
        </xdr:to>
        <xdr:sp macro="" textlink="">
          <xdr:nvSpPr>
            <xdr:cNvPr id="3170" name="Drop Dow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xmlns="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542925</xdr:colOff>
          <xdr:row>18</xdr:row>
          <xdr:rowOff>9525</xdr:rowOff>
        </xdr:to>
        <xdr:sp macro="" textlink="">
          <xdr:nvSpPr>
            <xdr:cNvPr id="3171" name="Drop Dow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xmlns="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542925</xdr:colOff>
          <xdr:row>19</xdr:row>
          <xdr:rowOff>9525</xdr:rowOff>
        </xdr:to>
        <xdr:sp macro="" textlink="">
          <xdr:nvSpPr>
            <xdr:cNvPr id="3172" name="Drop Dow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xmlns="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225" name="Gráfico 22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8642" y="2459876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4338"/>
    <xdr:pic macro="[0]!DataInicio2">
      <xdr:nvPicPr>
        <xdr:cNvPr id="226" name="Gráfico 22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1701" y="2655222"/>
          <a:ext cx="180525" cy="184338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227" name="Gráfico 22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7312" y="2842395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6211"/>
    <xdr:pic macro="[0]!DataInicio4">
      <xdr:nvPicPr>
        <xdr:cNvPr id="228" name="Gráfico 22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0371" y="3037740"/>
          <a:ext cx="180525" cy="186211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229" name="Gráfico 22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0371" y="3227059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6211"/>
    <xdr:pic macro="[0]!DataInicio6">
      <xdr:nvPicPr>
        <xdr:cNvPr id="230" name="Gráfico 22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4926" y="3422405"/>
          <a:ext cx="180525" cy="186211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231" name="Gráfico 23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2100" y="380492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5234"/>
    <xdr:pic macro="[0]!DataInicio7">
      <xdr:nvPicPr>
        <xdr:cNvPr id="232" name="Gráfico 23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2753" y="3600317"/>
          <a:ext cx="180525" cy="185234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3629"/>
    <xdr:pic macro="[0]!DataInicio10">
      <xdr:nvPicPr>
        <xdr:cNvPr id="233" name="Gráfico 23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1327" y="4195616"/>
          <a:ext cx="180525" cy="183629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5234"/>
    <xdr:pic macro="[0]!DataInicio9">
      <xdr:nvPicPr>
        <xdr:cNvPr id="234" name="Gráfico 23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1980" y="3991009"/>
          <a:ext cx="180525" cy="185234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235" name="Gráfico 23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2968" y="2454793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236" name="Gráfico 23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6027" y="2650139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1832"/>
    <xdr:pic macro="[0]!DataFinal3">
      <xdr:nvPicPr>
        <xdr:cNvPr id="237" name="Gráfico 23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1638" y="2835480"/>
          <a:ext cx="185173" cy="181832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238" name="Gráfico 23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4697" y="3032657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1831"/>
    <xdr:pic macro="[0]!DataFinal5">
      <xdr:nvPicPr>
        <xdr:cNvPr id="239" name="Gráfico 23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4697" y="3220144"/>
          <a:ext cx="185173" cy="181831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240" name="Gráfico 23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89252" y="3417322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1831"/>
    <xdr:pic macro="[0]!DataFinal8">
      <xdr:nvPicPr>
        <xdr:cNvPr id="241" name="Gráfico 24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6426" y="3798009"/>
          <a:ext cx="180525" cy="181831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5234"/>
    <xdr:pic macro="[0]!DataFinal7">
      <xdr:nvPicPr>
        <xdr:cNvPr id="242" name="Gráfico 24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7079" y="3595234"/>
          <a:ext cx="180525" cy="185234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243" name="Gráfico 24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5653" y="4190533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5234"/>
    <xdr:pic macro="[0]!DataFinal9">
      <xdr:nvPicPr>
        <xdr:cNvPr id="244" name="Gráfico 24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196306" y="3985926"/>
          <a:ext cx="180525" cy="185234"/>
        </a:xfrm>
        <a:prstGeom prst="rect">
          <a:avLst/>
        </a:prstGeom>
      </xdr:spPr>
    </xdr:pic>
    <xdr:clientData/>
  </xdr:oneCellAnchor>
  <xdr:oneCellAnchor>
    <xdr:from>
      <xdr:col>36</xdr:col>
      <xdr:colOff>409695</xdr:colOff>
      <xdr:row>9</xdr:row>
      <xdr:rowOff>15336</xdr:rowOff>
    </xdr:from>
    <xdr:ext cx="174387" cy="181063"/>
    <xdr:pic macro="[0]!HoraInicio1">
      <xdr:nvPicPr>
        <xdr:cNvPr id="245" name="Gráfico 244" descr="Relógio com preenchimento sólido">
          <a:extLst>
            <a:ext uri="{FF2B5EF4-FFF2-40B4-BE49-F238E27FC236}">
              <a16:creationId xmlns:a16="http://schemas.microsoft.com/office/drawing/2014/main" xmlns="" id="{00000000-0008-0000-00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8661" y="2469855"/>
          <a:ext cx="174387" cy="181063"/>
        </a:xfrm>
        <a:prstGeom prst="rect">
          <a:avLst/>
        </a:prstGeom>
      </xdr:spPr>
    </xdr:pic>
    <xdr:clientData/>
  </xdr:oneCellAnchor>
  <xdr:oneCellAnchor>
    <xdr:from>
      <xdr:col>36</xdr:col>
      <xdr:colOff>409333</xdr:colOff>
      <xdr:row>10</xdr:row>
      <xdr:rowOff>14977</xdr:rowOff>
    </xdr:from>
    <xdr:ext cx="175177" cy="181064"/>
    <xdr:pic macro="[0]!HoraInicio2">
      <xdr:nvPicPr>
        <xdr:cNvPr id="246" name="Gráfico 245" descr="Relógio com preenchimento sólido">
          <a:extLst>
            <a:ext uri="{FF2B5EF4-FFF2-40B4-BE49-F238E27FC236}">
              <a16:creationId xmlns:a16="http://schemas.microsoft.com/office/drawing/2014/main" xmlns="" id="{00000000-0008-0000-00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8299" y="2661828"/>
          <a:ext cx="175177" cy="181064"/>
        </a:xfrm>
        <a:prstGeom prst="rect">
          <a:avLst/>
        </a:prstGeom>
      </xdr:spPr>
    </xdr:pic>
    <xdr:clientData/>
  </xdr:oneCellAnchor>
  <xdr:oneCellAnchor>
    <xdr:from>
      <xdr:col>36</xdr:col>
      <xdr:colOff>408971</xdr:colOff>
      <xdr:row>11</xdr:row>
      <xdr:rowOff>14619</xdr:rowOff>
    </xdr:from>
    <xdr:ext cx="175177" cy="181063"/>
    <xdr:pic macro="[0]!HoraInicio3">
      <xdr:nvPicPr>
        <xdr:cNvPr id="247" name="Gráfico 246" descr="Relógio com preenchimento sólido">
          <a:extLst>
            <a:ext uri="{FF2B5EF4-FFF2-40B4-BE49-F238E27FC236}">
              <a16:creationId xmlns:a16="http://schemas.microsoft.com/office/drawing/2014/main" xmlns="" id="{00000000-0008-0000-00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7937" y="2853802"/>
          <a:ext cx="175177" cy="181063"/>
        </a:xfrm>
        <a:prstGeom prst="rect">
          <a:avLst/>
        </a:prstGeom>
      </xdr:spPr>
    </xdr:pic>
    <xdr:clientData/>
  </xdr:oneCellAnchor>
  <xdr:oneCellAnchor>
    <xdr:from>
      <xdr:col>36</xdr:col>
      <xdr:colOff>409336</xdr:colOff>
      <xdr:row>12</xdr:row>
      <xdr:rowOff>5992</xdr:rowOff>
    </xdr:from>
    <xdr:ext cx="175177" cy="177434"/>
    <xdr:pic macro="[0]!HoraInicio4">
      <xdr:nvPicPr>
        <xdr:cNvPr id="248" name="Gráfico 247" descr="Relógio com preenchimento sólido">
          <a:extLst>
            <a:ext uri="{FF2B5EF4-FFF2-40B4-BE49-F238E27FC236}">
              <a16:creationId xmlns:a16="http://schemas.microsoft.com/office/drawing/2014/main" xmlns="" id="{00000000-0008-0000-00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8302" y="3037506"/>
          <a:ext cx="175177" cy="177434"/>
        </a:xfrm>
        <a:prstGeom prst="rect">
          <a:avLst/>
        </a:prstGeom>
      </xdr:spPr>
    </xdr:pic>
    <xdr:clientData/>
  </xdr:oneCellAnchor>
  <xdr:oneCellAnchor>
    <xdr:from>
      <xdr:col>36</xdr:col>
      <xdr:colOff>408974</xdr:colOff>
      <xdr:row>13</xdr:row>
      <xdr:rowOff>5633</xdr:rowOff>
    </xdr:from>
    <xdr:ext cx="175177" cy="177434"/>
    <xdr:pic macro="[0]!HoraInicio5">
      <xdr:nvPicPr>
        <xdr:cNvPr id="249" name="Gráfico 248" descr="Relógio com preenchimento sólido">
          <a:extLst>
            <a:ext uri="{FF2B5EF4-FFF2-40B4-BE49-F238E27FC236}">
              <a16:creationId xmlns:a16="http://schemas.microsoft.com/office/drawing/2014/main" xmlns="" id="{00000000-0008-0000-00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7940" y="3229479"/>
          <a:ext cx="175177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14</xdr:row>
      <xdr:rowOff>5274</xdr:rowOff>
    </xdr:from>
    <xdr:ext cx="175177" cy="177434"/>
    <xdr:pic macro="[0]!HoraInicio6">
      <xdr:nvPicPr>
        <xdr:cNvPr id="250" name="Gráfico 249" descr="Relógio com preenchimento sólido">
          <a:extLst>
            <a:ext uri="{FF2B5EF4-FFF2-40B4-BE49-F238E27FC236}">
              <a16:creationId xmlns:a16="http://schemas.microsoft.com/office/drawing/2014/main" xmlns="" id="{00000000-0008-0000-00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7578" y="3421452"/>
          <a:ext cx="175177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15</xdr:row>
      <xdr:rowOff>14259</xdr:rowOff>
    </xdr:from>
    <xdr:ext cx="175177" cy="181062"/>
    <xdr:pic macro="[0]!HoraInicio7">
      <xdr:nvPicPr>
        <xdr:cNvPr id="251" name="Gráfico 250" descr="Relógio com preenchimento sólido">
          <a:extLst>
            <a:ext uri="{FF2B5EF4-FFF2-40B4-BE49-F238E27FC236}">
              <a16:creationId xmlns:a16="http://schemas.microsoft.com/office/drawing/2014/main" xmlns="" id="{00000000-0008-0000-00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7578" y="3622769"/>
          <a:ext cx="175177" cy="181062"/>
        </a:xfrm>
        <a:prstGeom prst="rect">
          <a:avLst/>
        </a:prstGeom>
      </xdr:spPr>
    </xdr:pic>
    <xdr:clientData/>
  </xdr:oneCellAnchor>
  <xdr:oneCellAnchor>
    <xdr:from>
      <xdr:col>36</xdr:col>
      <xdr:colOff>408977</xdr:colOff>
      <xdr:row>16</xdr:row>
      <xdr:rowOff>5632</xdr:rowOff>
    </xdr:from>
    <xdr:ext cx="175177" cy="177434"/>
    <xdr:pic macro="[0]!HoraInicio8">
      <xdr:nvPicPr>
        <xdr:cNvPr id="252" name="Gráfico 251" descr="Relógio com preenchimento sólido">
          <a:extLst>
            <a:ext uri="{FF2B5EF4-FFF2-40B4-BE49-F238E27FC236}">
              <a16:creationId xmlns:a16="http://schemas.microsoft.com/office/drawing/2014/main" xmlns="" id="{00000000-0008-0000-00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7943" y="3806473"/>
          <a:ext cx="175177" cy="177434"/>
        </a:xfrm>
        <a:prstGeom prst="rect">
          <a:avLst/>
        </a:prstGeom>
      </xdr:spPr>
    </xdr:pic>
    <xdr:clientData/>
  </xdr:oneCellAnchor>
  <xdr:oneCellAnchor>
    <xdr:from>
      <xdr:col>36</xdr:col>
      <xdr:colOff>408615</xdr:colOff>
      <xdr:row>17</xdr:row>
      <xdr:rowOff>5274</xdr:rowOff>
    </xdr:from>
    <xdr:ext cx="175177" cy="177434"/>
    <xdr:pic macro="[0]!HoraInicio9">
      <xdr:nvPicPr>
        <xdr:cNvPr id="253" name="Gráfico 252" descr="Relógio com preenchimento sólido">
          <a:extLst>
            <a:ext uri="{FF2B5EF4-FFF2-40B4-BE49-F238E27FC236}">
              <a16:creationId xmlns:a16="http://schemas.microsoft.com/office/drawing/2014/main" xmlns="" id="{00000000-0008-0000-00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7581" y="3998447"/>
          <a:ext cx="175177" cy="177434"/>
        </a:xfrm>
        <a:prstGeom prst="rect">
          <a:avLst/>
        </a:prstGeom>
      </xdr:spPr>
    </xdr:pic>
    <xdr:clientData/>
  </xdr:oneCellAnchor>
  <xdr:oneCellAnchor>
    <xdr:from>
      <xdr:col>36</xdr:col>
      <xdr:colOff>408253</xdr:colOff>
      <xdr:row>18</xdr:row>
      <xdr:rowOff>4915</xdr:rowOff>
    </xdr:from>
    <xdr:ext cx="175177" cy="177434"/>
    <xdr:pic macro="[0]!HoraInicio10">
      <xdr:nvPicPr>
        <xdr:cNvPr id="254" name="Gráfico 253" descr="Relógio com preenchimento sólido">
          <a:extLst>
            <a:ext uri="{FF2B5EF4-FFF2-40B4-BE49-F238E27FC236}">
              <a16:creationId xmlns:a16="http://schemas.microsoft.com/office/drawing/2014/main" xmlns="" id="{00000000-0008-0000-00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7219" y="4190420"/>
          <a:ext cx="175177" cy="177434"/>
        </a:xfrm>
        <a:prstGeom prst="rect">
          <a:avLst/>
        </a:prstGeom>
      </xdr:spPr>
    </xdr:pic>
    <xdr:clientData/>
  </xdr:oneCellAnchor>
  <xdr:oneCellAnchor>
    <xdr:from>
      <xdr:col>41</xdr:col>
      <xdr:colOff>400350</xdr:colOff>
      <xdr:row>9</xdr:row>
      <xdr:rowOff>14977</xdr:rowOff>
    </xdr:from>
    <xdr:ext cx="174385" cy="181063"/>
    <xdr:pic macro="[0]!HoraFinal1">
      <xdr:nvPicPr>
        <xdr:cNvPr id="255" name="Gráfico 254" descr="Relógio com preenchimento sólido">
          <a:extLst>
            <a:ext uri="{FF2B5EF4-FFF2-40B4-BE49-F238E27FC236}">
              <a16:creationId xmlns:a16="http://schemas.microsoft.com/office/drawing/2014/main" xmlns="" id="{00000000-0008-0000-00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70086" y="2469496"/>
          <a:ext cx="174385" cy="181063"/>
        </a:xfrm>
        <a:prstGeom prst="rect">
          <a:avLst/>
        </a:prstGeom>
      </xdr:spPr>
    </xdr:pic>
    <xdr:clientData/>
  </xdr:oneCellAnchor>
  <xdr:oneCellAnchor>
    <xdr:from>
      <xdr:col>41</xdr:col>
      <xdr:colOff>399988</xdr:colOff>
      <xdr:row>10</xdr:row>
      <xdr:rowOff>14618</xdr:rowOff>
    </xdr:from>
    <xdr:ext cx="174385" cy="181064"/>
    <xdr:pic macro="[0]!HoraFinal2">
      <xdr:nvPicPr>
        <xdr:cNvPr id="256" name="Gráfico 255" descr="Relógio com preenchimento sólido">
          <a:extLst>
            <a:ext uri="{FF2B5EF4-FFF2-40B4-BE49-F238E27FC236}">
              <a16:creationId xmlns:a16="http://schemas.microsoft.com/office/drawing/2014/main" xmlns="" id="{00000000-0008-0000-00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724" y="2661469"/>
          <a:ext cx="174385" cy="181064"/>
        </a:xfrm>
        <a:prstGeom prst="rect">
          <a:avLst/>
        </a:prstGeom>
      </xdr:spPr>
    </xdr:pic>
    <xdr:clientData/>
  </xdr:oneCellAnchor>
  <xdr:oneCellAnchor>
    <xdr:from>
      <xdr:col>41</xdr:col>
      <xdr:colOff>399626</xdr:colOff>
      <xdr:row>11</xdr:row>
      <xdr:rowOff>14260</xdr:rowOff>
    </xdr:from>
    <xdr:ext cx="174385" cy="181063"/>
    <xdr:pic macro="[0]!HoraFinal3">
      <xdr:nvPicPr>
        <xdr:cNvPr id="257" name="Gráfico 256" descr="Relógio com preenchimento sólido">
          <a:extLst>
            <a:ext uri="{FF2B5EF4-FFF2-40B4-BE49-F238E27FC236}">
              <a16:creationId xmlns:a16="http://schemas.microsoft.com/office/drawing/2014/main" xmlns="" id="{00000000-0008-0000-00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362" y="2853443"/>
          <a:ext cx="174385" cy="181063"/>
        </a:xfrm>
        <a:prstGeom prst="rect">
          <a:avLst/>
        </a:prstGeom>
      </xdr:spPr>
    </xdr:pic>
    <xdr:clientData/>
  </xdr:oneCellAnchor>
  <xdr:oneCellAnchor>
    <xdr:from>
      <xdr:col>41</xdr:col>
      <xdr:colOff>399991</xdr:colOff>
      <xdr:row>12</xdr:row>
      <xdr:rowOff>5633</xdr:rowOff>
    </xdr:from>
    <xdr:ext cx="174385" cy="177434"/>
    <xdr:pic macro="[0]!HoraFinal4">
      <xdr:nvPicPr>
        <xdr:cNvPr id="258" name="Gráfico 257" descr="Relógio com preenchimento sólido">
          <a:extLst>
            <a:ext uri="{FF2B5EF4-FFF2-40B4-BE49-F238E27FC236}">
              <a16:creationId xmlns:a16="http://schemas.microsoft.com/office/drawing/2014/main" xmlns="" id="{00000000-0008-0000-00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727" y="3037147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399629</xdr:colOff>
      <xdr:row>13</xdr:row>
      <xdr:rowOff>5274</xdr:rowOff>
    </xdr:from>
    <xdr:ext cx="174385" cy="177434"/>
    <xdr:pic macro="[0]!HoraFinal5">
      <xdr:nvPicPr>
        <xdr:cNvPr id="259" name="Gráfico 258" descr="Relógio com preenchimento sólido">
          <a:extLst>
            <a:ext uri="{FF2B5EF4-FFF2-40B4-BE49-F238E27FC236}">
              <a16:creationId xmlns:a16="http://schemas.microsoft.com/office/drawing/2014/main" xmlns="" id="{00000000-0008-0000-00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365" y="3229120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14</xdr:row>
      <xdr:rowOff>4915</xdr:rowOff>
    </xdr:from>
    <xdr:ext cx="174385" cy="177434"/>
    <xdr:pic macro="[0]!HoraFinal6">
      <xdr:nvPicPr>
        <xdr:cNvPr id="260" name="Gráfico 259" descr="Relógio com preenchimento sólido">
          <a:extLst>
            <a:ext uri="{FF2B5EF4-FFF2-40B4-BE49-F238E27FC236}">
              <a16:creationId xmlns:a16="http://schemas.microsoft.com/office/drawing/2014/main" xmlns="" id="{00000000-0008-0000-00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003" y="3421093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15</xdr:row>
      <xdr:rowOff>13900</xdr:rowOff>
    </xdr:from>
    <xdr:ext cx="174385" cy="181062"/>
    <xdr:pic macro="[0]!HoraFinal7">
      <xdr:nvPicPr>
        <xdr:cNvPr id="261" name="Gráfico 260" descr="Relógio com preenchimento sólido">
          <a:extLst>
            <a:ext uri="{FF2B5EF4-FFF2-40B4-BE49-F238E27FC236}">
              <a16:creationId xmlns:a16="http://schemas.microsoft.com/office/drawing/2014/main" xmlns="" id="{00000000-0008-0000-00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003" y="3622410"/>
          <a:ext cx="174385" cy="181062"/>
        </a:xfrm>
        <a:prstGeom prst="rect">
          <a:avLst/>
        </a:prstGeom>
      </xdr:spPr>
    </xdr:pic>
    <xdr:clientData/>
  </xdr:oneCellAnchor>
  <xdr:oneCellAnchor>
    <xdr:from>
      <xdr:col>41</xdr:col>
      <xdr:colOff>399632</xdr:colOff>
      <xdr:row>16</xdr:row>
      <xdr:rowOff>5273</xdr:rowOff>
    </xdr:from>
    <xdr:ext cx="174385" cy="177434"/>
    <xdr:pic macro="[0]!HoraFinal8">
      <xdr:nvPicPr>
        <xdr:cNvPr id="262" name="Gráfico 261" descr="Relógio com preenchimento sólido">
          <a:extLst>
            <a:ext uri="{FF2B5EF4-FFF2-40B4-BE49-F238E27FC236}">
              <a16:creationId xmlns:a16="http://schemas.microsoft.com/office/drawing/2014/main" xmlns="" id="{00000000-0008-0000-00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368" y="380611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399270</xdr:colOff>
      <xdr:row>17</xdr:row>
      <xdr:rowOff>4915</xdr:rowOff>
    </xdr:from>
    <xdr:ext cx="174385" cy="177434"/>
    <xdr:pic macro="[0]!HoraFinal9">
      <xdr:nvPicPr>
        <xdr:cNvPr id="263" name="Gráfico 262" descr="Relógio com preenchimento sólido">
          <a:extLst>
            <a:ext uri="{FF2B5EF4-FFF2-40B4-BE49-F238E27FC236}">
              <a16:creationId xmlns:a16="http://schemas.microsoft.com/office/drawing/2014/main" xmlns="" id="{00000000-0008-0000-00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9006" y="3998088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398908</xdr:colOff>
      <xdr:row>18</xdr:row>
      <xdr:rowOff>4556</xdr:rowOff>
    </xdr:from>
    <xdr:ext cx="174385" cy="177434"/>
    <xdr:pic macro="[0]!HoraFinal10">
      <xdr:nvPicPr>
        <xdr:cNvPr id="264" name="Gráfico 263" descr="Relógio com preenchimento sólido">
          <a:extLst>
            <a:ext uri="{FF2B5EF4-FFF2-40B4-BE49-F238E27FC236}">
              <a16:creationId xmlns:a16="http://schemas.microsoft.com/office/drawing/2014/main" xmlns="" id="{00000000-0008-0000-00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68644" y="4190061"/>
          <a:ext cx="174385" cy="17743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552450</xdr:colOff>
          <xdr:row>10</xdr:row>
          <xdr:rowOff>9525</xdr:rowOff>
        </xdr:to>
        <xdr:sp macro="" textlink="">
          <xdr:nvSpPr>
            <xdr:cNvPr id="3173" name="Drop Dow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xmlns="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552450</xdr:colOff>
          <xdr:row>11</xdr:row>
          <xdr:rowOff>9525</xdr:rowOff>
        </xdr:to>
        <xdr:sp macro="" textlink="">
          <xdr:nvSpPr>
            <xdr:cNvPr id="3174" name="Drop Dow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xmlns="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552450</xdr:colOff>
          <xdr:row>12</xdr:row>
          <xdr:rowOff>9525</xdr:rowOff>
        </xdr:to>
        <xdr:sp macro="" textlink="">
          <xdr:nvSpPr>
            <xdr:cNvPr id="3175" name="Drop Dow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xmlns="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552450</xdr:colOff>
          <xdr:row>13</xdr:row>
          <xdr:rowOff>9525</xdr:rowOff>
        </xdr:to>
        <xdr:sp macro="" textlink="">
          <xdr:nvSpPr>
            <xdr:cNvPr id="3176" name="Drop Dow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xmlns="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552450</xdr:colOff>
          <xdr:row>14</xdr:row>
          <xdr:rowOff>9525</xdr:rowOff>
        </xdr:to>
        <xdr:sp macro="" textlink="">
          <xdr:nvSpPr>
            <xdr:cNvPr id="3177" name="Drop Dow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xmlns="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552450</xdr:colOff>
          <xdr:row>15</xdr:row>
          <xdr:rowOff>9525</xdr:rowOff>
        </xdr:to>
        <xdr:sp macro="" textlink="">
          <xdr:nvSpPr>
            <xdr:cNvPr id="3178" name="Drop Dow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xmlns="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552450</xdr:colOff>
          <xdr:row>16</xdr:row>
          <xdr:rowOff>9525</xdr:rowOff>
        </xdr:to>
        <xdr:sp macro="" textlink="">
          <xdr:nvSpPr>
            <xdr:cNvPr id="3179" name="Drop Dow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xmlns="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552450</xdr:colOff>
          <xdr:row>17</xdr:row>
          <xdr:rowOff>9525</xdr:rowOff>
        </xdr:to>
        <xdr:sp macro="" textlink="">
          <xdr:nvSpPr>
            <xdr:cNvPr id="3180" name="Drop Dow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xmlns="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552450</xdr:colOff>
          <xdr:row>18</xdr:row>
          <xdr:rowOff>9525</xdr:rowOff>
        </xdr:to>
        <xdr:sp macro="" textlink="">
          <xdr:nvSpPr>
            <xdr:cNvPr id="3181" name="Drop Dow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xmlns="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552450</xdr:colOff>
          <xdr:row>19</xdr:row>
          <xdr:rowOff>9525</xdr:rowOff>
        </xdr:to>
        <xdr:sp macro="" textlink="">
          <xdr:nvSpPr>
            <xdr:cNvPr id="3182" name="Drop Dow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xmlns="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275" name="Gráfico 27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6943" y="2430795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78578"/>
    <xdr:pic macro="[0]!DataInicio2">
      <xdr:nvPicPr>
        <xdr:cNvPr id="276" name="Gráfico 27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0002" y="2620381"/>
          <a:ext cx="180525" cy="178578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277" name="Gráfico 27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5613" y="2801794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451"/>
    <xdr:pic macro="[0]!DataInicio4">
      <xdr:nvPicPr>
        <xdr:cNvPr id="278" name="Gráfico 27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8672" y="2991381"/>
          <a:ext cx="180525" cy="180451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279" name="Gráfico 27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8672" y="317494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451"/>
    <xdr:pic macro="[0]!DataInicio6">
      <xdr:nvPicPr>
        <xdr:cNvPr id="280" name="Gráfico 27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3227" y="3364526"/>
          <a:ext cx="180525" cy="180451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281" name="Gráfico 28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0401" y="3735525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79474"/>
    <xdr:pic macro="[0]!DataInicio7">
      <xdr:nvPicPr>
        <xdr:cNvPr id="282" name="Gráfico 28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1054" y="3542438"/>
          <a:ext cx="180525" cy="179474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77869"/>
    <xdr:pic macro="[0]!DataInicio10">
      <xdr:nvPicPr>
        <xdr:cNvPr id="283" name="Gráfico 28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59628" y="4114699"/>
          <a:ext cx="180525" cy="177869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79474"/>
    <xdr:pic macro="[0]!DataInicio9">
      <xdr:nvPicPr>
        <xdr:cNvPr id="284" name="Gráfico 28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0281" y="3921611"/>
          <a:ext cx="180525" cy="179474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285" name="Gráfico 28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6375" y="2425712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286" name="Gráfico 28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9434" y="261529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76072"/>
    <xdr:pic macro="[0]!DataFinal3">
      <xdr:nvPicPr>
        <xdr:cNvPr id="287" name="Gráfico 28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5045" y="2800639"/>
          <a:ext cx="185173" cy="176072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288" name="Gráfico 28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8104" y="298629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76071"/>
    <xdr:pic macro="[0]!DataFinal5">
      <xdr:nvPicPr>
        <xdr:cNvPr id="289" name="Gráfico 28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8104" y="3173785"/>
          <a:ext cx="185173" cy="176071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290" name="Gráfico 28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2659" y="3359443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76072"/>
    <xdr:pic macro="[0]!DataFinal8">
      <xdr:nvPicPr>
        <xdr:cNvPr id="291" name="Gráfico 29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9833" y="3734370"/>
          <a:ext cx="180525" cy="176072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79474"/>
    <xdr:pic macro="[0]!DataFinal7">
      <xdr:nvPicPr>
        <xdr:cNvPr id="292" name="Gráfico 29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10486" y="3537355"/>
          <a:ext cx="180525" cy="179474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293" name="Gráfico 29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9060" y="4109616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79474"/>
    <xdr:pic macro="[0]!DataFinal9">
      <xdr:nvPicPr>
        <xdr:cNvPr id="294" name="Gráfico 29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9713" y="3916528"/>
          <a:ext cx="180525" cy="179474"/>
        </a:xfrm>
        <a:prstGeom prst="rect">
          <a:avLst/>
        </a:prstGeom>
      </xdr:spPr>
    </xdr:pic>
    <xdr:clientData/>
  </xdr:oneCellAnchor>
  <xdr:oneCellAnchor>
    <xdr:from>
      <xdr:col>36</xdr:col>
      <xdr:colOff>409695</xdr:colOff>
      <xdr:row>9</xdr:row>
      <xdr:rowOff>15336</xdr:rowOff>
    </xdr:from>
    <xdr:ext cx="176746" cy="175303"/>
    <xdr:pic macro="[0]!HoraInicio1">
      <xdr:nvPicPr>
        <xdr:cNvPr id="295" name="Gráfico 294" descr="Relógio com preenchimento sólido">
          <a:extLst>
            <a:ext uri="{FF2B5EF4-FFF2-40B4-BE49-F238E27FC236}">
              <a16:creationId xmlns:a16="http://schemas.microsoft.com/office/drawing/2014/main" xmlns="" id="{00000000-0008-0000-00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5546" y="2440774"/>
          <a:ext cx="176746" cy="175303"/>
        </a:xfrm>
        <a:prstGeom prst="rect">
          <a:avLst/>
        </a:prstGeom>
      </xdr:spPr>
    </xdr:pic>
    <xdr:clientData/>
  </xdr:oneCellAnchor>
  <xdr:oneCellAnchor>
    <xdr:from>
      <xdr:col>36</xdr:col>
      <xdr:colOff>409333</xdr:colOff>
      <xdr:row>10</xdr:row>
      <xdr:rowOff>14977</xdr:rowOff>
    </xdr:from>
    <xdr:ext cx="177536" cy="175304"/>
    <xdr:pic macro="[0]!HoraInicio2">
      <xdr:nvPicPr>
        <xdr:cNvPr id="296" name="Gráfico 295" descr="Relógio com preenchimento sólido">
          <a:extLst>
            <a:ext uri="{FF2B5EF4-FFF2-40B4-BE49-F238E27FC236}">
              <a16:creationId xmlns:a16="http://schemas.microsoft.com/office/drawing/2014/main" xmlns="" id="{00000000-0008-0000-00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5184" y="2626987"/>
          <a:ext cx="177536" cy="175304"/>
        </a:xfrm>
        <a:prstGeom prst="rect">
          <a:avLst/>
        </a:prstGeom>
      </xdr:spPr>
    </xdr:pic>
    <xdr:clientData/>
  </xdr:oneCellAnchor>
  <xdr:oneCellAnchor>
    <xdr:from>
      <xdr:col>36</xdr:col>
      <xdr:colOff>408971</xdr:colOff>
      <xdr:row>11</xdr:row>
      <xdr:rowOff>14619</xdr:rowOff>
    </xdr:from>
    <xdr:ext cx="177536" cy="175305"/>
    <xdr:pic macro="[0]!HoraInicio3">
      <xdr:nvPicPr>
        <xdr:cNvPr id="297" name="Gráfico 296" descr="Relógio com preenchimento sólido">
          <a:extLst>
            <a:ext uri="{FF2B5EF4-FFF2-40B4-BE49-F238E27FC236}">
              <a16:creationId xmlns:a16="http://schemas.microsoft.com/office/drawing/2014/main" xmlns="" id="{00000000-0008-0000-00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4822" y="2813201"/>
          <a:ext cx="177536" cy="175305"/>
        </a:xfrm>
        <a:prstGeom prst="rect">
          <a:avLst/>
        </a:prstGeom>
      </xdr:spPr>
    </xdr:pic>
    <xdr:clientData/>
  </xdr:oneCellAnchor>
  <xdr:oneCellAnchor>
    <xdr:from>
      <xdr:col>36</xdr:col>
      <xdr:colOff>409336</xdr:colOff>
      <xdr:row>12</xdr:row>
      <xdr:rowOff>5992</xdr:rowOff>
    </xdr:from>
    <xdr:ext cx="177536" cy="177434"/>
    <xdr:pic macro="[0]!HoraInicio4">
      <xdr:nvPicPr>
        <xdr:cNvPr id="298" name="Gráfico 297" descr="Relógio com preenchimento sólido">
          <a:extLst>
            <a:ext uri="{FF2B5EF4-FFF2-40B4-BE49-F238E27FC236}">
              <a16:creationId xmlns:a16="http://schemas.microsoft.com/office/drawing/2014/main" xmlns="" id="{00000000-0008-0000-00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5187" y="2991147"/>
          <a:ext cx="177536" cy="177434"/>
        </a:xfrm>
        <a:prstGeom prst="rect">
          <a:avLst/>
        </a:prstGeom>
      </xdr:spPr>
    </xdr:pic>
    <xdr:clientData/>
  </xdr:oneCellAnchor>
  <xdr:oneCellAnchor>
    <xdr:from>
      <xdr:col>36</xdr:col>
      <xdr:colOff>408974</xdr:colOff>
      <xdr:row>13</xdr:row>
      <xdr:rowOff>5633</xdr:rowOff>
    </xdr:from>
    <xdr:ext cx="177536" cy="177434"/>
    <xdr:pic macro="[0]!HoraInicio5">
      <xdr:nvPicPr>
        <xdr:cNvPr id="299" name="Gráfico 298" descr="Relógio com preenchimento sólido">
          <a:extLst>
            <a:ext uri="{FF2B5EF4-FFF2-40B4-BE49-F238E27FC236}">
              <a16:creationId xmlns:a16="http://schemas.microsoft.com/office/drawing/2014/main" xmlns="" id="{00000000-0008-0000-00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4825" y="3177360"/>
          <a:ext cx="177536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14</xdr:row>
      <xdr:rowOff>5274</xdr:rowOff>
    </xdr:from>
    <xdr:ext cx="177536" cy="177434"/>
    <xdr:pic macro="[0]!HoraInicio6">
      <xdr:nvPicPr>
        <xdr:cNvPr id="300" name="Gráfico 299" descr="Relógio com preenchimento sólido">
          <a:extLst>
            <a:ext uri="{FF2B5EF4-FFF2-40B4-BE49-F238E27FC236}">
              <a16:creationId xmlns:a16="http://schemas.microsoft.com/office/drawing/2014/main" xmlns="" id="{00000000-0008-0000-00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4463" y="3363573"/>
          <a:ext cx="177536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15</xdr:row>
      <xdr:rowOff>14259</xdr:rowOff>
    </xdr:from>
    <xdr:ext cx="177536" cy="175303"/>
    <xdr:pic macro="[0]!HoraInicio7">
      <xdr:nvPicPr>
        <xdr:cNvPr id="301" name="Gráfico 300" descr="Relógio com preenchimento sólido">
          <a:extLst>
            <a:ext uri="{FF2B5EF4-FFF2-40B4-BE49-F238E27FC236}">
              <a16:creationId xmlns:a16="http://schemas.microsoft.com/office/drawing/2014/main" xmlns="" id="{00000000-0008-0000-00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4463" y="3559130"/>
          <a:ext cx="177536" cy="175303"/>
        </a:xfrm>
        <a:prstGeom prst="rect">
          <a:avLst/>
        </a:prstGeom>
      </xdr:spPr>
    </xdr:pic>
    <xdr:clientData/>
  </xdr:oneCellAnchor>
  <xdr:oneCellAnchor>
    <xdr:from>
      <xdr:col>36</xdr:col>
      <xdr:colOff>408977</xdr:colOff>
      <xdr:row>16</xdr:row>
      <xdr:rowOff>5632</xdr:rowOff>
    </xdr:from>
    <xdr:ext cx="177536" cy="177434"/>
    <xdr:pic macro="[0]!HoraInicio8">
      <xdr:nvPicPr>
        <xdr:cNvPr id="302" name="Gráfico 301" descr="Relógio com preenchimento sólido">
          <a:extLst>
            <a:ext uri="{FF2B5EF4-FFF2-40B4-BE49-F238E27FC236}">
              <a16:creationId xmlns:a16="http://schemas.microsoft.com/office/drawing/2014/main" xmlns="" id="{00000000-0008-0000-00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4828" y="3737075"/>
          <a:ext cx="177536" cy="177434"/>
        </a:xfrm>
        <a:prstGeom prst="rect">
          <a:avLst/>
        </a:prstGeom>
      </xdr:spPr>
    </xdr:pic>
    <xdr:clientData/>
  </xdr:oneCellAnchor>
  <xdr:oneCellAnchor>
    <xdr:from>
      <xdr:col>36</xdr:col>
      <xdr:colOff>408615</xdr:colOff>
      <xdr:row>17</xdr:row>
      <xdr:rowOff>5274</xdr:rowOff>
    </xdr:from>
    <xdr:ext cx="177536" cy="177434"/>
    <xdr:pic macro="[0]!HoraInicio9">
      <xdr:nvPicPr>
        <xdr:cNvPr id="303" name="Gráfico 302" descr="Relógio com preenchimento sólido">
          <a:extLst>
            <a:ext uri="{FF2B5EF4-FFF2-40B4-BE49-F238E27FC236}">
              <a16:creationId xmlns:a16="http://schemas.microsoft.com/office/drawing/2014/main" xmlns="" id="{00000000-0008-0000-00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4466" y="3923289"/>
          <a:ext cx="177536" cy="177434"/>
        </a:xfrm>
        <a:prstGeom prst="rect">
          <a:avLst/>
        </a:prstGeom>
      </xdr:spPr>
    </xdr:pic>
    <xdr:clientData/>
  </xdr:oneCellAnchor>
  <xdr:oneCellAnchor>
    <xdr:from>
      <xdr:col>36</xdr:col>
      <xdr:colOff>408253</xdr:colOff>
      <xdr:row>18</xdr:row>
      <xdr:rowOff>4915</xdr:rowOff>
    </xdr:from>
    <xdr:ext cx="177536" cy="177434"/>
    <xdr:pic macro="[0]!HoraInicio10">
      <xdr:nvPicPr>
        <xdr:cNvPr id="304" name="Gráfico 303" descr="Relógio com preenchimento sólido">
          <a:extLst>
            <a:ext uri="{FF2B5EF4-FFF2-40B4-BE49-F238E27FC236}">
              <a16:creationId xmlns:a16="http://schemas.microsoft.com/office/drawing/2014/main" xmlns="" id="{00000000-0008-0000-00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44104" y="4109503"/>
          <a:ext cx="177536" cy="177434"/>
        </a:xfrm>
        <a:prstGeom prst="rect">
          <a:avLst/>
        </a:prstGeom>
      </xdr:spPr>
    </xdr:pic>
    <xdr:clientData/>
  </xdr:oneCellAnchor>
  <xdr:oneCellAnchor>
    <xdr:from>
      <xdr:col>41</xdr:col>
      <xdr:colOff>400350</xdr:colOff>
      <xdr:row>9</xdr:row>
      <xdr:rowOff>14977</xdr:rowOff>
    </xdr:from>
    <xdr:ext cx="174385" cy="175303"/>
    <xdr:pic macro="[0]!HoraFinal1">
      <xdr:nvPicPr>
        <xdr:cNvPr id="305" name="Gráfico 304" descr="Relógio com preenchimento sólido">
          <a:extLst>
            <a:ext uri="{FF2B5EF4-FFF2-40B4-BE49-F238E27FC236}">
              <a16:creationId xmlns:a16="http://schemas.microsoft.com/office/drawing/2014/main" xmlns="" id="{00000000-0008-0000-00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2077" y="2440415"/>
          <a:ext cx="174385" cy="175303"/>
        </a:xfrm>
        <a:prstGeom prst="rect">
          <a:avLst/>
        </a:prstGeom>
      </xdr:spPr>
    </xdr:pic>
    <xdr:clientData/>
  </xdr:oneCellAnchor>
  <xdr:oneCellAnchor>
    <xdr:from>
      <xdr:col>41</xdr:col>
      <xdr:colOff>399988</xdr:colOff>
      <xdr:row>10</xdr:row>
      <xdr:rowOff>14618</xdr:rowOff>
    </xdr:from>
    <xdr:ext cx="174385" cy="175304"/>
    <xdr:pic macro="[0]!HoraFinal2">
      <xdr:nvPicPr>
        <xdr:cNvPr id="306" name="Gráfico 305" descr="Relógio com preenchimento sólido">
          <a:extLst>
            <a:ext uri="{FF2B5EF4-FFF2-40B4-BE49-F238E27FC236}">
              <a16:creationId xmlns:a16="http://schemas.microsoft.com/office/drawing/2014/main" xmlns="" id="{00000000-0008-0000-00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1715" y="2626628"/>
          <a:ext cx="174385" cy="175304"/>
        </a:xfrm>
        <a:prstGeom prst="rect">
          <a:avLst/>
        </a:prstGeom>
      </xdr:spPr>
    </xdr:pic>
    <xdr:clientData/>
  </xdr:oneCellAnchor>
  <xdr:oneCellAnchor>
    <xdr:from>
      <xdr:col>41</xdr:col>
      <xdr:colOff>399626</xdr:colOff>
      <xdr:row>11</xdr:row>
      <xdr:rowOff>14260</xdr:rowOff>
    </xdr:from>
    <xdr:ext cx="174385" cy="175305"/>
    <xdr:pic macro="[0]!HoraFinal3">
      <xdr:nvPicPr>
        <xdr:cNvPr id="307" name="Gráfico 306" descr="Relógio com preenchimento sólido">
          <a:extLst>
            <a:ext uri="{FF2B5EF4-FFF2-40B4-BE49-F238E27FC236}">
              <a16:creationId xmlns:a16="http://schemas.microsoft.com/office/drawing/2014/main" xmlns="" id="{00000000-0008-0000-00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1353" y="2812842"/>
          <a:ext cx="174385" cy="175305"/>
        </a:xfrm>
        <a:prstGeom prst="rect">
          <a:avLst/>
        </a:prstGeom>
      </xdr:spPr>
    </xdr:pic>
    <xdr:clientData/>
  </xdr:oneCellAnchor>
  <xdr:oneCellAnchor>
    <xdr:from>
      <xdr:col>41</xdr:col>
      <xdr:colOff>399991</xdr:colOff>
      <xdr:row>12</xdr:row>
      <xdr:rowOff>5633</xdr:rowOff>
    </xdr:from>
    <xdr:ext cx="174385" cy="177434"/>
    <xdr:pic macro="[0]!HoraFinal4">
      <xdr:nvPicPr>
        <xdr:cNvPr id="308" name="Gráfico 307" descr="Relógio com preenchimento sólido">
          <a:extLst>
            <a:ext uri="{FF2B5EF4-FFF2-40B4-BE49-F238E27FC236}">
              <a16:creationId xmlns:a16="http://schemas.microsoft.com/office/drawing/2014/main" xmlns="" id="{00000000-0008-0000-00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1718" y="2990788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399629</xdr:colOff>
      <xdr:row>13</xdr:row>
      <xdr:rowOff>5274</xdr:rowOff>
    </xdr:from>
    <xdr:ext cx="174385" cy="177434"/>
    <xdr:pic macro="[0]!HoraFinal5">
      <xdr:nvPicPr>
        <xdr:cNvPr id="309" name="Gráfico 308" descr="Relógio com preenchimento sólido">
          <a:extLst>
            <a:ext uri="{FF2B5EF4-FFF2-40B4-BE49-F238E27FC236}">
              <a16:creationId xmlns:a16="http://schemas.microsoft.com/office/drawing/2014/main" xmlns="" id="{00000000-0008-0000-00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1356" y="3177001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14</xdr:row>
      <xdr:rowOff>4915</xdr:rowOff>
    </xdr:from>
    <xdr:ext cx="174385" cy="177434"/>
    <xdr:pic macro="[0]!HoraFinal6">
      <xdr:nvPicPr>
        <xdr:cNvPr id="310" name="Gráfico 309" descr="Relógio com preenchimento sólido">
          <a:extLst>
            <a:ext uri="{FF2B5EF4-FFF2-40B4-BE49-F238E27FC236}">
              <a16:creationId xmlns:a16="http://schemas.microsoft.com/office/drawing/2014/main" xmlns="" id="{00000000-0008-0000-00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0994" y="336321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15</xdr:row>
      <xdr:rowOff>13900</xdr:rowOff>
    </xdr:from>
    <xdr:ext cx="174385" cy="175303"/>
    <xdr:pic macro="[0]!HoraFinal7">
      <xdr:nvPicPr>
        <xdr:cNvPr id="311" name="Gráfico 310" descr="Relógio com preenchimento sólido">
          <a:extLst>
            <a:ext uri="{FF2B5EF4-FFF2-40B4-BE49-F238E27FC236}">
              <a16:creationId xmlns:a16="http://schemas.microsoft.com/office/drawing/2014/main" xmlns="" id="{00000000-0008-0000-00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0994" y="3558771"/>
          <a:ext cx="174385" cy="175303"/>
        </a:xfrm>
        <a:prstGeom prst="rect">
          <a:avLst/>
        </a:prstGeom>
      </xdr:spPr>
    </xdr:pic>
    <xdr:clientData/>
  </xdr:oneCellAnchor>
  <xdr:oneCellAnchor>
    <xdr:from>
      <xdr:col>41</xdr:col>
      <xdr:colOff>399632</xdr:colOff>
      <xdr:row>16</xdr:row>
      <xdr:rowOff>5273</xdr:rowOff>
    </xdr:from>
    <xdr:ext cx="174385" cy="177434"/>
    <xdr:pic macro="[0]!HoraFinal8">
      <xdr:nvPicPr>
        <xdr:cNvPr id="312" name="Gráfico 311" descr="Relógio com preenchimento sólido">
          <a:extLst>
            <a:ext uri="{FF2B5EF4-FFF2-40B4-BE49-F238E27FC236}">
              <a16:creationId xmlns:a16="http://schemas.microsoft.com/office/drawing/2014/main" xmlns="" id="{00000000-0008-0000-00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1359" y="3736716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399270</xdr:colOff>
      <xdr:row>17</xdr:row>
      <xdr:rowOff>4915</xdr:rowOff>
    </xdr:from>
    <xdr:ext cx="174385" cy="177434"/>
    <xdr:pic macro="[0]!HoraFinal9">
      <xdr:nvPicPr>
        <xdr:cNvPr id="313" name="Gráfico 312" descr="Relógio com preenchimento sólido">
          <a:extLst>
            <a:ext uri="{FF2B5EF4-FFF2-40B4-BE49-F238E27FC236}">
              <a16:creationId xmlns:a16="http://schemas.microsoft.com/office/drawing/2014/main" xmlns="" id="{00000000-0008-0000-00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0997" y="3922930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398908</xdr:colOff>
      <xdr:row>18</xdr:row>
      <xdr:rowOff>4556</xdr:rowOff>
    </xdr:from>
    <xdr:ext cx="174385" cy="177434"/>
    <xdr:pic macro="[0]!HoraFinal10">
      <xdr:nvPicPr>
        <xdr:cNvPr id="314" name="Gráfico 313" descr="Relógio com preenchimento sólido">
          <a:extLst>
            <a:ext uri="{FF2B5EF4-FFF2-40B4-BE49-F238E27FC236}">
              <a16:creationId xmlns:a16="http://schemas.microsoft.com/office/drawing/2014/main" xmlns="" id="{00000000-0008-0000-00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0635" y="4109144"/>
          <a:ext cx="174385" cy="17743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552450</xdr:colOff>
          <xdr:row>10</xdr:row>
          <xdr:rowOff>9525</xdr:rowOff>
        </xdr:to>
        <xdr:sp macro="" textlink="">
          <xdr:nvSpPr>
            <xdr:cNvPr id="3183" name="Drop Dow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xmlns="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552450</xdr:colOff>
          <xdr:row>11</xdr:row>
          <xdr:rowOff>9525</xdr:rowOff>
        </xdr:to>
        <xdr:sp macro="" textlink="">
          <xdr:nvSpPr>
            <xdr:cNvPr id="3184" name="Drop Dow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xmlns="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552450</xdr:colOff>
          <xdr:row>12</xdr:row>
          <xdr:rowOff>9525</xdr:rowOff>
        </xdr:to>
        <xdr:sp macro="" textlink="">
          <xdr:nvSpPr>
            <xdr:cNvPr id="3185" name="Drop Dow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xmlns="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552450</xdr:colOff>
          <xdr:row>13</xdr:row>
          <xdr:rowOff>9525</xdr:rowOff>
        </xdr:to>
        <xdr:sp macro="" textlink="">
          <xdr:nvSpPr>
            <xdr:cNvPr id="3186" name="Drop Dow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xmlns="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552450</xdr:colOff>
          <xdr:row>14</xdr:row>
          <xdr:rowOff>9525</xdr:rowOff>
        </xdr:to>
        <xdr:sp macro="" textlink="">
          <xdr:nvSpPr>
            <xdr:cNvPr id="3187" name="Drop Dow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xmlns=""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552450</xdr:colOff>
          <xdr:row>15</xdr:row>
          <xdr:rowOff>9525</xdr:rowOff>
        </xdr:to>
        <xdr:sp macro="" textlink="">
          <xdr:nvSpPr>
            <xdr:cNvPr id="3188" name="Drop Dow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xmlns="" id="{00000000-0008-0000-00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552450</xdr:colOff>
          <xdr:row>16</xdr:row>
          <xdr:rowOff>9525</xdr:rowOff>
        </xdr:to>
        <xdr:sp macro="" textlink="">
          <xdr:nvSpPr>
            <xdr:cNvPr id="3189" name="Drop Dow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xmlns=""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552450</xdr:colOff>
          <xdr:row>17</xdr:row>
          <xdr:rowOff>9525</xdr:rowOff>
        </xdr:to>
        <xdr:sp macro="" textlink="">
          <xdr:nvSpPr>
            <xdr:cNvPr id="3190" name="Drop Dow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xmlns="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552450</xdr:colOff>
          <xdr:row>18</xdr:row>
          <xdr:rowOff>9525</xdr:rowOff>
        </xdr:to>
        <xdr:sp macro="" textlink="">
          <xdr:nvSpPr>
            <xdr:cNvPr id="3191" name="Drop Dow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xmlns="" id="{00000000-0008-0000-00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552450</xdr:colOff>
          <xdr:row>19</xdr:row>
          <xdr:rowOff>9525</xdr:rowOff>
        </xdr:to>
        <xdr:sp macro="" textlink="">
          <xdr:nvSpPr>
            <xdr:cNvPr id="3192" name="Drop Dow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xmlns=""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325" name="Gráfico 32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4050" y="243650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2506"/>
    <xdr:pic macro="[0]!DataInicio2">
      <xdr:nvPicPr>
        <xdr:cNvPr id="326" name="Gráfico 32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7109" y="2630014"/>
          <a:ext cx="180525" cy="182506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327" name="Gráfico 32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2720" y="2815355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4379"/>
    <xdr:pic macro="[0]!DataInicio4">
      <xdr:nvPicPr>
        <xdr:cNvPr id="328" name="Gráfico 32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5779" y="3008869"/>
          <a:ext cx="180525" cy="184379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329" name="Gráfico 32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5779" y="3196356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4379"/>
    <xdr:pic macro="[0]!DataInicio6">
      <xdr:nvPicPr>
        <xdr:cNvPr id="330" name="Gráfico 32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0334" y="3389870"/>
          <a:ext cx="180525" cy="184379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331" name="Gráfico 33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7508" y="3768725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3402"/>
    <xdr:pic macro="[0]!DataInicio7">
      <xdr:nvPicPr>
        <xdr:cNvPr id="332" name="Gráfico 33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8161" y="3567782"/>
          <a:ext cx="180525" cy="183402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1797"/>
    <xdr:pic macro="[0]!DataInicio10">
      <xdr:nvPicPr>
        <xdr:cNvPr id="333" name="Gráfico 33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6735" y="4155754"/>
          <a:ext cx="180525" cy="181797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3402"/>
    <xdr:pic macro="[0]!DataInicio9">
      <xdr:nvPicPr>
        <xdr:cNvPr id="334" name="Gráfico 33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267388" y="3954811"/>
          <a:ext cx="180525" cy="183402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335" name="Gráfico 33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6749" y="2431417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336" name="Gráfico 33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9808" y="2624931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0000"/>
    <xdr:pic macro="[0]!DataFinal3">
      <xdr:nvPicPr>
        <xdr:cNvPr id="337" name="Gráfico 33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5419" y="2810272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338" name="Gráfico 33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8478" y="3003786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79999"/>
    <xdr:pic macro="[0]!DataFinal5">
      <xdr:nvPicPr>
        <xdr:cNvPr id="339" name="Gráfico 33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8478" y="3191273"/>
          <a:ext cx="185173" cy="179999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340" name="Gráfico 33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3033" y="3384787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0000"/>
    <xdr:pic macro="[0]!DataFinal8">
      <xdr:nvPicPr>
        <xdr:cNvPr id="341" name="Gráfico 34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10207" y="3763642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3402"/>
    <xdr:pic macro="[0]!DataFinal7">
      <xdr:nvPicPr>
        <xdr:cNvPr id="342" name="Gráfico 34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10860" y="3562699"/>
          <a:ext cx="180525" cy="183402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343" name="Gráfico 34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09434" y="4150671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3402"/>
    <xdr:pic macro="[0]!DataFinal9">
      <xdr:nvPicPr>
        <xdr:cNvPr id="344" name="Gráfico 34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210087" y="3949728"/>
          <a:ext cx="180525" cy="183402"/>
        </a:xfrm>
        <a:prstGeom prst="rect">
          <a:avLst/>
        </a:prstGeom>
      </xdr:spPr>
    </xdr:pic>
    <xdr:clientData/>
  </xdr:oneCellAnchor>
  <xdr:oneCellAnchor>
    <xdr:from>
      <xdr:col>36</xdr:col>
      <xdr:colOff>409695</xdr:colOff>
      <xdr:row>9</xdr:row>
      <xdr:rowOff>15336</xdr:rowOff>
    </xdr:from>
    <xdr:ext cx="177963" cy="179231"/>
    <xdr:pic macro="[0]!HoraInicio1">
      <xdr:nvPicPr>
        <xdr:cNvPr id="345" name="Gráfico 344" descr="Relógio com preenchimento sólido">
          <a:extLst>
            <a:ext uri="{FF2B5EF4-FFF2-40B4-BE49-F238E27FC236}">
              <a16:creationId xmlns:a16="http://schemas.microsoft.com/office/drawing/2014/main" xmlns="" id="{00000000-0008-0000-00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5552" y="2446479"/>
          <a:ext cx="177963" cy="179231"/>
        </a:xfrm>
        <a:prstGeom prst="rect">
          <a:avLst/>
        </a:prstGeom>
      </xdr:spPr>
    </xdr:pic>
    <xdr:clientData/>
  </xdr:oneCellAnchor>
  <xdr:oneCellAnchor>
    <xdr:from>
      <xdr:col>36</xdr:col>
      <xdr:colOff>409333</xdr:colOff>
      <xdr:row>10</xdr:row>
      <xdr:rowOff>14977</xdr:rowOff>
    </xdr:from>
    <xdr:ext cx="178753" cy="179232"/>
    <xdr:pic macro="[0]!HoraInicio2">
      <xdr:nvPicPr>
        <xdr:cNvPr id="346" name="Gráfico 345" descr="Relógio com preenchimento sólido">
          <a:extLst>
            <a:ext uri="{FF2B5EF4-FFF2-40B4-BE49-F238E27FC236}">
              <a16:creationId xmlns:a16="http://schemas.microsoft.com/office/drawing/2014/main" xmlns="" id="{00000000-0008-0000-00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5190" y="2636620"/>
          <a:ext cx="178753" cy="179232"/>
        </a:xfrm>
        <a:prstGeom prst="rect">
          <a:avLst/>
        </a:prstGeom>
      </xdr:spPr>
    </xdr:pic>
    <xdr:clientData/>
  </xdr:oneCellAnchor>
  <xdr:oneCellAnchor>
    <xdr:from>
      <xdr:col>36</xdr:col>
      <xdr:colOff>408971</xdr:colOff>
      <xdr:row>11</xdr:row>
      <xdr:rowOff>14619</xdr:rowOff>
    </xdr:from>
    <xdr:ext cx="178753" cy="179232"/>
    <xdr:pic macro="[0]!HoraInicio3">
      <xdr:nvPicPr>
        <xdr:cNvPr id="347" name="Gráfico 346" descr="Relógio com preenchimento sólido">
          <a:extLst>
            <a:ext uri="{FF2B5EF4-FFF2-40B4-BE49-F238E27FC236}">
              <a16:creationId xmlns:a16="http://schemas.microsoft.com/office/drawing/2014/main" xmlns="" id="{00000000-0008-0000-00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4828" y="2826762"/>
          <a:ext cx="178753" cy="179232"/>
        </a:xfrm>
        <a:prstGeom prst="rect">
          <a:avLst/>
        </a:prstGeom>
      </xdr:spPr>
    </xdr:pic>
    <xdr:clientData/>
  </xdr:oneCellAnchor>
  <xdr:oneCellAnchor>
    <xdr:from>
      <xdr:col>36</xdr:col>
      <xdr:colOff>409336</xdr:colOff>
      <xdr:row>12</xdr:row>
      <xdr:rowOff>5992</xdr:rowOff>
    </xdr:from>
    <xdr:ext cx="178753" cy="177434"/>
    <xdr:pic macro="[0]!HoraInicio4">
      <xdr:nvPicPr>
        <xdr:cNvPr id="348" name="Gráfico 347" descr="Relógio com preenchimento sólido">
          <a:extLst>
            <a:ext uri="{FF2B5EF4-FFF2-40B4-BE49-F238E27FC236}">
              <a16:creationId xmlns:a16="http://schemas.microsoft.com/office/drawing/2014/main" xmlns="" id="{00000000-0008-0000-00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5193" y="3008635"/>
          <a:ext cx="178753" cy="177434"/>
        </a:xfrm>
        <a:prstGeom prst="rect">
          <a:avLst/>
        </a:prstGeom>
      </xdr:spPr>
    </xdr:pic>
    <xdr:clientData/>
  </xdr:oneCellAnchor>
  <xdr:oneCellAnchor>
    <xdr:from>
      <xdr:col>36</xdr:col>
      <xdr:colOff>408974</xdr:colOff>
      <xdr:row>13</xdr:row>
      <xdr:rowOff>5633</xdr:rowOff>
    </xdr:from>
    <xdr:ext cx="178753" cy="177434"/>
    <xdr:pic macro="[0]!HoraInicio5">
      <xdr:nvPicPr>
        <xdr:cNvPr id="349" name="Gráfico 348" descr="Relógio com preenchimento sólido">
          <a:extLst>
            <a:ext uri="{FF2B5EF4-FFF2-40B4-BE49-F238E27FC236}">
              <a16:creationId xmlns:a16="http://schemas.microsoft.com/office/drawing/2014/main" xmlns="" id="{00000000-0008-0000-00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4831" y="3198776"/>
          <a:ext cx="178753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14</xdr:row>
      <xdr:rowOff>5274</xdr:rowOff>
    </xdr:from>
    <xdr:ext cx="178753" cy="177434"/>
    <xdr:pic macro="[0]!HoraInicio6">
      <xdr:nvPicPr>
        <xdr:cNvPr id="350" name="Gráfico 349" descr="Relógio com preenchimento sólido">
          <a:extLst>
            <a:ext uri="{FF2B5EF4-FFF2-40B4-BE49-F238E27FC236}">
              <a16:creationId xmlns:a16="http://schemas.microsoft.com/office/drawing/2014/main" xmlns="" id="{00000000-0008-0000-00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4469" y="3388917"/>
          <a:ext cx="178753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15</xdr:row>
      <xdr:rowOff>14259</xdr:rowOff>
    </xdr:from>
    <xdr:ext cx="178753" cy="179231"/>
    <xdr:pic macro="[0]!HoraInicio7">
      <xdr:nvPicPr>
        <xdr:cNvPr id="351" name="Gráfico 350" descr="Relógio com preenchimento sólido">
          <a:extLst>
            <a:ext uri="{FF2B5EF4-FFF2-40B4-BE49-F238E27FC236}">
              <a16:creationId xmlns:a16="http://schemas.microsoft.com/office/drawing/2014/main" xmlns="" id="{00000000-0008-0000-00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4469" y="3588402"/>
          <a:ext cx="178753" cy="179231"/>
        </a:xfrm>
        <a:prstGeom prst="rect">
          <a:avLst/>
        </a:prstGeom>
      </xdr:spPr>
    </xdr:pic>
    <xdr:clientData/>
  </xdr:oneCellAnchor>
  <xdr:oneCellAnchor>
    <xdr:from>
      <xdr:col>36</xdr:col>
      <xdr:colOff>408977</xdr:colOff>
      <xdr:row>16</xdr:row>
      <xdr:rowOff>5632</xdr:rowOff>
    </xdr:from>
    <xdr:ext cx="178753" cy="177434"/>
    <xdr:pic macro="[0]!HoraInicio8">
      <xdr:nvPicPr>
        <xdr:cNvPr id="352" name="Gráfico 351" descr="Relógio com preenchimento sólido">
          <a:extLst>
            <a:ext uri="{FF2B5EF4-FFF2-40B4-BE49-F238E27FC236}">
              <a16:creationId xmlns:a16="http://schemas.microsoft.com/office/drawing/2014/main" xmlns="" id="{00000000-0008-0000-00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4834" y="3770275"/>
          <a:ext cx="178753" cy="177434"/>
        </a:xfrm>
        <a:prstGeom prst="rect">
          <a:avLst/>
        </a:prstGeom>
      </xdr:spPr>
    </xdr:pic>
    <xdr:clientData/>
  </xdr:oneCellAnchor>
  <xdr:oneCellAnchor>
    <xdr:from>
      <xdr:col>36</xdr:col>
      <xdr:colOff>408615</xdr:colOff>
      <xdr:row>17</xdr:row>
      <xdr:rowOff>5274</xdr:rowOff>
    </xdr:from>
    <xdr:ext cx="178753" cy="177434"/>
    <xdr:pic macro="[0]!HoraInicio9">
      <xdr:nvPicPr>
        <xdr:cNvPr id="353" name="Gráfico 352" descr="Relógio com preenchimento sólido">
          <a:extLst>
            <a:ext uri="{FF2B5EF4-FFF2-40B4-BE49-F238E27FC236}">
              <a16:creationId xmlns:a16="http://schemas.microsoft.com/office/drawing/2014/main" xmlns="" id="{00000000-0008-0000-00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4472" y="3960417"/>
          <a:ext cx="178753" cy="177434"/>
        </a:xfrm>
        <a:prstGeom prst="rect">
          <a:avLst/>
        </a:prstGeom>
      </xdr:spPr>
    </xdr:pic>
    <xdr:clientData/>
  </xdr:oneCellAnchor>
  <xdr:oneCellAnchor>
    <xdr:from>
      <xdr:col>36</xdr:col>
      <xdr:colOff>408253</xdr:colOff>
      <xdr:row>18</xdr:row>
      <xdr:rowOff>4915</xdr:rowOff>
    </xdr:from>
    <xdr:ext cx="178753" cy="177434"/>
    <xdr:pic macro="[0]!HoraInicio10">
      <xdr:nvPicPr>
        <xdr:cNvPr id="354" name="Gráfico 353" descr="Relógio com preenchimento sólido">
          <a:extLst>
            <a:ext uri="{FF2B5EF4-FFF2-40B4-BE49-F238E27FC236}">
              <a16:creationId xmlns:a16="http://schemas.microsoft.com/office/drawing/2014/main" xmlns="" id="{00000000-0008-0000-00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454110" y="4150558"/>
          <a:ext cx="178753" cy="177434"/>
        </a:xfrm>
        <a:prstGeom prst="rect">
          <a:avLst/>
        </a:prstGeom>
      </xdr:spPr>
    </xdr:pic>
    <xdr:clientData/>
  </xdr:oneCellAnchor>
  <xdr:oneCellAnchor>
    <xdr:from>
      <xdr:col>41</xdr:col>
      <xdr:colOff>400350</xdr:colOff>
      <xdr:row>9</xdr:row>
      <xdr:rowOff>14977</xdr:rowOff>
    </xdr:from>
    <xdr:ext cx="174385" cy="179231"/>
    <xdr:pic macro="[0]!HoraFinal1">
      <xdr:nvPicPr>
        <xdr:cNvPr id="355" name="Gráfico 354" descr="Relógio com preenchimento sólido">
          <a:extLst>
            <a:ext uri="{FF2B5EF4-FFF2-40B4-BE49-F238E27FC236}">
              <a16:creationId xmlns:a16="http://schemas.microsoft.com/office/drawing/2014/main" xmlns="" id="{00000000-0008-0000-00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5350" y="2446120"/>
          <a:ext cx="174385" cy="179231"/>
        </a:xfrm>
        <a:prstGeom prst="rect">
          <a:avLst/>
        </a:prstGeom>
      </xdr:spPr>
    </xdr:pic>
    <xdr:clientData/>
  </xdr:oneCellAnchor>
  <xdr:oneCellAnchor>
    <xdr:from>
      <xdr:col>41</xdr:col>
      <xdr:colOff>399988</xdr:colOff>
      <xdr:row>10</xdr:row>
      <xdr:rowOff>14618</xdr:rowOff>
    </xdr:from>
    <xdr:ext cx="174385" cy="179232"/>
    <xdr:pic macro="[0]!HoraFinal2">
      <xdr:nvPicPr>
        <xdr:cNvPr id="356" name="Gráfico 355" descr="Relógio com preenchimento sólido">
          <a:extLst>
            <a:ext uri="{FF2B5EF4-FFF2-40B4-BE49-F238E27FC236}">
              <a16:creationId xmlns:a16="http://schemas.microsoft.com/office/drawing/2014/main" xmlns="" id="{00000000-0008-0000-00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988" y="2636261"/>
          <a:ext cx="174385" cy="179232"/>
        </a:xfrm>
        <a:prstGeom prst="rect">
          <a:avLst/>
        </a:prstGeom>
      </xdr:spPr>
    </xdr:pic>
    <xdr:clientData/>
  </xdr:oneCellAnchor>
  <xdr:oneCellAnchor>
    <xdr:from>
      <xdr:col>41</xdr:col>
      <xdr:colOff>399626</xdr:colOff>
      <xdr:row>11</xdr:row>
      <xdr:rowOff>14260</xdr:rowOff>
    </xdr:from>
    <xdr:ext cx="174385" cy="179232"/>
    <xdr:pic macro="[0]!HoraFinal3">
      <xdr:nvPicPr>
        <xdr:cNvPr id="357" name="Gráfico 356" descr="Relógio com preenchimento sólido">
          <a:extLst>
            <a:ext uri="{FF2B5EF4-FFF2-40B4-BE49-F238E27FC236}">
              <a16:creationId xmlns:a16="http://schemas.microsoft.com/office/drawing/2014/main" xmlns="" id="{00000000-0008-0000-00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626" y="2826403"/>
          <a:ext cx="174385" cy="179232"/>
        </a:xfrm>
        <a:prstGeom prst="rect">
          <a:avLst/>
        </a:prstGeom>
      </xdr:spPr>
    </xdr:pic>
    <xdr:clientData/>
  </xdr:oneCellAnchor>
  <xdr:oneCellAnchor>
    <xdr:from>
      <xdr:col>41</xdr:col>
      <xdr:colOff>399991</xdr:colOff>
      <xdr:row>12</xdr:row>
      <xdr:rowOff>5633</xdr:rowOff>
    </xdr:from>
    <xdr:ext cx="174385" cy="177434"/>
    <xdr:pic macro="[0]!HoraFinal4">
      <xdr:nvPicPr>
        <xdr:cNvPr id="358" name="Gráfico 357" descr="Relógio com preenchimento sólido">
          <a:extLst>
            <a:ext uri="{FF2B5EF4-FFF2-40B4-BE49-F238E27FC236}">
              <a16:creationId xmlns:a16="http://schemas.microsoft.com/office/drawing/2014/main" xmlns="" id="{00000000-0008-0000-00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991" y="3008276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399629</xdr:colOff>
      <xdr:row>13</xdr:row>
      <xdr:rowOff>5274</xdr:rowOff>
    </xdr:from>
    <xdr:ext cx="174385" cy="177434"/>
    <xdr:pic macro="[0]!HoraFinal5">
      <xdr:nvPicPr>
        <xdr:cNvPr id="359" name="Gráfico 358" descr="Relógio com preenchimento sólido">
          <a:extLst>
            <a:ext uri="{FF2B5EF4-FFF2-40B4-BE49-F238E27FC236}">
              <a16:creationId xmlns:a16="http://schemas.microsoft.com/office/drawing/2014/main" xmlns="" id="{00000000-0008-0000-00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629" y="3198417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14</xdr:row>
      <xdr:rowOff>4915</xdr:rowOff>
    </xdr:from>
    <xdr:ext cx="174385" cy="177434"/>
    <xdr:pic macro="[0]!HoraFinal6">
      <xdr:nvPicPr>
        <xdr:cNvPr id="360" name="Gráfico 359" descr="Relógio com preenchimento sólido">
          <a:extLst>
            <a:ext uri="{FF2B5EF4-FFF2-40B4-BE49-F238E27FC236}">
              <a16:creationId xmlns:a16="http://schemas.microsoft.com/office/drawing/2014/main" xmlns="" id="{00000000-0008-0000-00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267" y="3388558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15</xdr:row>
      <xdr:rowOff>13900</xdr:rowOff>
    </xdr:from>
    <xdr:ext cx="174385" cy="179231"/>
    <xdr:pic macro="[0]!HoraFinal7">
      <xdr:nvPicPr>
        <xdr:cNvPr id="361" name="Gráfico 360" descr="Relógio com preenchimento sólido">
          <a:extLst>
            <a:ext uri="{FF2B5EF4-FFF2-40B4-BE49-F238E27FC236}">
              <a16:creationId xmlns:a16="http://schemas.microsoft.com/office/drawing/2014/main" xmlns="" id="{00000000-0008-0000-00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267" y="3588043"/>
          <a:ext cx="174385" cy="179231"/>
        </a:xfrm>
        <a:prstGeom prst="rect">
          <a:avLst/>
        </a:prstGeom>
      </xdr:spPr>
    </xdr:pic>
    <xdr:clientData/>
  </xdr:oneCellAnchor>
  <xdr:oneCellAnchor>
    <xdr:from>
      <xdr:col>41</xdr:col>
      <xdr:colOff>399632</xdr:colOff>
      <xdr:row>16</xdr:row>
      <xdr:rowOff>5273</xdr:rowOff>
    </xdr:from>
    <xdr:ext cx="174385" cy="177434"/>
    <xdr:pic macro="[0]!HoraFinal8">
      <xdr:nvPicPr>
        <xdr:cNvPr id="362" name="Gráfico 361" descr="Relógio com preenchimento sólido">
          <a:extLst>
            <a:ext uri="{FF2B5EF4-FFF2-40B4-BE49-F238E27FC236}">
              <a16:creationId xmlns:a16="http://schemas.microsoft.com/office/drawing/2014/main" xmlns="" id="{00000000-0008-0000-00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632" y="3769916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399270</xdr:colOff>
      <xdr:row>17</xdr:row>
      <xdr:rowOff>4915</xdr:rowOff>
    </xdr:from>
    <xdr:ext cx="174385" cy="177434"/>
    <xdr:pic macro="[0]!HoraFinal9">
      <xdr:nvPicPr>
        <xdr:cNvPr id="363" name="Gráfico 362" descr="Relógio com preenchimento sólido">
          <a:extLst>
            <a:ext uri="{FF2B5EF4-FFF2-40B4-BE49-F238E27FC236}">
              <a16:creationId xmlns:a16="http://schemas.microsoft.com/office/drawing/2014/main" xmlns="" id="{00000000-0008-0000-00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4270" y="3960058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398908</xdr:colOff>
      <xdr:row>18</xdr:row>
      <xdr:rowOff>4556</xdr:rowOff>
    </xdr:from>
    <xdr:ext cx="174385" cy="177434"/>
    <xdr:pic macro="[0]!HoraFinal10">
      <xdr:nvPicPr>
        <xdr:cNvPr id="364" name="Gráfico 363" descr="Relógio com preenchimento sólido">
          <a:extLst>
            <a:ext uri="{FF2B5EF4-FFF2-40B4-BE49-F238E27FC236}">
              <a16:creationId xmlns:a16="http://schemas.microsoft.com/office/drawing/2014/main" xmlns="" id="{00000000-0008-0000-00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383908" y="4150199"/>
          <a:ext cx="174385" cy="177434"/>
        </a:xfrm>
        <a:prstGeom prst="rect">
          <a:avLst/>
        </a:prstGeom>
      </xdr:spPr>
    </xdr:pic>
    <xdr:clientData/>
  </xdr:oneCellAnchor>
  <xdr:twoCellAnchor>
    <xdr:from>
      <xdr:col>4</xdr:col>
      <xdr:colOff>30909</xdr:colOff>
      <xdr:row>2</xdr:row>
      <xdr:rowOff>43546</xdr:rowOff>
    </xdr:from>
    <xdr:to>
      <xdr:col>4</xdr:col>
      <xdr:colOff>780819</xdr:colOff>
      <xdr:row>3</xdr:row>
      <xdr:rowOff>393822</xdr:rowOff>
    </xdr:to>
    <xdr:sp macro="[0]!BuscarHoras" textlink="">
      <xdr:nvSpPr>
        <xdr:cNvPr id="365" name="CaixaDeTexto 364">
          <a:extLst>
            <a:ext uri="{FF2B5EF4-FFF2-40B4-BE49-F238E27FC236}">
              <a16:creationId xmlns:a16="http://schemas.microsoft.com/office/drawing/2014/main" xmlns="" id="{00000000-0008-0000-0000-00006D010000}"/>
            </a:ext>
          </a:extLst>
        </xdr:cNvPr>
        <xdr:cNvSpPr txBox="1"/>
      </xdr:nvSpPr>
      <xdr:spPr>
        <a:xfrm>
          <a:off x="2558697" y="620541"/>
          <a:ext cx="749910" cy="62503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 b="1">
              <a:solidFill>
                <a:srgbClr val="00B050"/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  <a:r>
            <a:rPr lang="pt-BR" sz="1050" b="1" baseline="0">
              <a:solidFill>
                <a:srgbClr val="00B050"/>
              </a:solidFill>
              <a:latin typeface="Arial" panose="020B0604020202020204" pitchFamily="34" charset="0"/>
              <a:cs typeface="Arial" panose="020B0604020202020204" pitchFamily="34" charset="0"/>
            </a:rPr>
            <a:t> Horas  Trabalho</a:t>
          </a:r>
          <a:endParaRPr lang="pt-BR" sz="1050" b="1">
            <a:solidFill>
              <a:srgbClr val="00B05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28036</xdr:colOff>
      <xdr:row>2</xdr:row>
      <xdr:rowOff>50909</xdr:rowOff>
    </xdr:from>
    <xdr:to>
      <xdr:col>3</xdr:col>
      <xdr:colOff>793749</xdr:colOff>
      <xdr:row>3</xdr:row>
      <xdr:rowOff>401185</xdr:rowOff>
    </xdr:to>
    <xdr:sp macro="[0]!Buscar_Historico" textlink="">
      <xdr:nvSpPr>
        <xdr:cNvPr id="367" name="CaixaDeTexto 366">
          <a:extLst>
            <a:ext uri="{FF2B5EF4-FFF2-40B4-BE49-F238E27FC236}">
              <a16:creationId xmlns:a16="http://schemas.microsoft.com/office/drawing/2014/main" xmlns="" id="{00000000-0008-0000-0000-00006F010000}"/>
            </a:ext>
          </a:extLst>
        </xdr:cNvPr>
        <xdr:cNvSpPr txBox="1"/>
      </xdr:nvSpPr>
      <xdr:spPr>
        <a:xfrm>
          <a:off x="1848992" y="620541"/>
          <a:ext cx="765713" cy="63042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5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Buscar</a:t>
          </a:r>
          <a:r>
            <a:rPr lang="pt-BR" sz="105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Histórico</a:t>
          </a:r>
          <a:endParaRPr lang="pt-BR" sz="1050" b="1">
            <a:solidFill>
              <a:schemeClr val="accent4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552450</xdr:colOff>
          <xdr:row>10</xdr:row>
          <xdr:rowOff>9525</xdr:rowOff>
        </xdr:to>
        <xdr:sp macro="" textlink="">
          <xdr:nvSpPr>
            <xdr:cNvPr id="3193" name="Drop Dow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xmlns="" id="{00000000-0008-0000-00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552450</xdr:colOff>
          <xdr:row>11</xdr:row>
          <xdr:rowOff>9525</xdr:rowOff>
        </xdr:to>
        <xdr:sp macro="" textlink="">
          <xdr:nvSpPr>
            <xdr:cNvPr id="3194" name="Drop Dow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xmlns="" id="{00000000-0008-0000-00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552450</xdr:colOff>
          <xdr:row>12</xdr:row>
          <xdr:rowOff>9525</xdr:rowOff>
        </xdr:to>
        <xdr:sp macro="" textlink="">
          <xdr:nvSpPr>
            <xdr:cNvPr id="3195" name="Drop Dow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xmlns="" id="{00000000-0008-0000-00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552450</xdr:colOff>
          <xdr:row>13</xdr:row>
          <xdr:rowOff>9525</xdr:rowOff>
        </xdr:to>
        <xdr:sp macro="" textlink="">
          <xdr:nvSpPr>
            <xdr:cNvPr id="3196" name="Drop Dow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xmlns="" id="{00000000-0008-0000-00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552450</xdr:colOff>
          <xdr:row>14</xdr:row>
          <xdr:rowOff>9525</xdr:rowOff>
        </xdr:to>
        <xdr:sp macro="" textlink="">
          <xdr:nvSpPr>
            <xdr:cNvPr id="3197" name="Drop Dow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xmlns="" id="{00000000-0008-0000-00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552450</xdr:colOff>
          <xdr:row>15</xdr:row>
          <xdr:rowOff>9525</xdr:rowOff>
        </xdr:to>
        <xdr:sp macro="" textlink="">
          <xdr:nvSpPr>
            <xdr:cNvPr id="3198" name="Drop Dow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xmlns="" id="{00000000-0008-0000-00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552450</xdr:colOff>
          <xdr:row>16</xdr:row>
          <xdr:rowOff>9525</xdr:rowOff>
        </xdr:to>
        <xdr:sp macro="" textlink="">
          <xdr:nvSpPr>
            <xdr:cNvPr id="3199" name="Drop Dow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xmlns="" id="{00000000-0008-0000-00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552450</xdr:colOff>
          <xdr:row>17</xdr:row>
          <xdr:rowOff>9525</xdr:rowOff>
        </xdr:to>
        <xdr:sp macro="" textlink="">
          <xdr:nvSpPr>
            <xdr:cNvPr id="3200" name="Drop Dow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xmlns="" id="{00000000-0008-0000-00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552450</xdr:colOff>
          <xdr:row>18</xdr:row>
          <xdr:rowOff>9525</xdr:rowOff>
        </xdr:to>
        <xdr:sp macro="" textlink="">
          <xdr:nvSpPr>
            <xdr:cNvPr id="3201" name="Drop Dow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xmlns="" id="{00000000-0008-0000-00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552450</xdr:colOff>
          <xdr:row>19</xdr:row>
          <xdr:rowOff>9525</xdr:rowOff>
        </xdr:to>
        <xdr:sp macro="" textlink="">
          <xdr:nvSpPr>
            <xdr:cNvPr id="3202" name="Drop Dow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xmlns="" id="{00000000-0008-0000-00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375" name="Gráfico 37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2950" y="2433298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78771"/>
    <xdr:pic macro="[0]!DataInicio2">
      <xdr:nvPicPr>
        <xdr:cNvPr id="376" name="Gráfico 37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6009" y="2623077"/>
          <a:ext cx="180525" cy="178771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377" name="Gráfico 37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1620" y="2804683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644"/>
    <xdr:pic macro="[0]!DataInicio4">
      <xdr:nvPicPr>
        <xdr:cNvPr id="378" name="Gráfico 37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4679" y="2994461"/>
          <a:ext cx="180525" cy="180644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379" name="Gráfico 37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4679" y="3178213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643"/>
    <xdr:pic macro="[0]!DataInicio6">
      <xdr:nvPicPr>
        <xdr:cNvPr id="380" name="Gráfico 37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49234" y="3367992"/>
          <a:ext cx="180525" cy="180643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381" name="Gráfico 38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6408" y="3739376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79666"/>
    <xdr:pic macro="[0]!DataInicio7">
      <xdr:nvPicPr>
        <xdr:cNvPr id="382" name="Gráfico 38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7061" y="3545904"/>
          <a:ext cx="180525" cy="179666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78061"/>
    <xdr:pic macro="[0]!DataInicio10">
      <xdr:nvPicPr>
        <xdr:cNvPr id="383" name="Gráfico 38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5635" y="4118935"/>
          <a:ext cx="180525" cy="178061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79667"/>
    <xdr:pic macro="[0]!DataInicio9">
      <xdr:nvPicPr>
        <xdr:cNvPr id="384" name="Gráfico 38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6288" y="3925462"/>
          <a:ext cx="180525" cy="179667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385" name="Gráfico 38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98050" y="2428215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386" name="Gráfico 38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401109" y="2617994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76265"/>
    <xdr:pic macro="[0]!DataFinal3">
      <xdr:nvPicPr>
        <xdr:cNvPr id="387" name="Gráfico 38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96720" y="2803335"/>
          <a:ext cx="185173" cy="176265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388" name="Gráfico 38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99779" y="298937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76264"/>
    <xdr:pic macro="[0]!DataFinal5">
      <xdr:nvPicPr>
        <xdr:cNvPr id="389" name="Gráfico 38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99779" y="3176865"/>
          <a:ext cx="185173" cy="176264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390" name="Gráfico 38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94334" y="3362909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76265"/>
    <xdr:pic macro="[0]!DataFinal8">
      <xdr:nvPicPr>
        <xdr:cNvPr id="391" name="Gráfico 39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401508" y="3738028"/>
          <a:ext cx="180525" cy="176265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79666"/>
    <xdr:pic macro="[0]!DataFinal7">
      <xdr:nvPicPr>
        <xdr:cNvPr id="392" name="Gráfico 39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402161" y="3540821"/>
          <a:ext cx="180525" cy="179666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393" name="Gráfico 39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400735" y="4113852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79667"/>
    <xdr:pic macro="[0]!DataFinal9">
      <xdr:nvPicPr>
        <xdr:cNvPr id="394" name="Gráfico 39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401388" y="3920379"/>
          <a:ext cx="180525" cy="179667"/>
        </a:xfrm>
        <a:prstGeom prst="rect">
          <a:avLst/>
        </a:prstGeom>
      </xdr:spPr>
    </xdr:pic>
    <xdr:clientData/>
  </xdr:oneCellAnchor>
  <xdr:oneCellAnchor>
    <xdr:from>
      <xdr:col>36</xdr:col>
      <xdr:colOff>409695</xdr:colOff>
      <xdr:row>9</xdr:row>
      <xdr:rowOff>15336</xdr:rowOff>
    </xdr:from>
    <xdr:ext cx="176363" cy="175496"/>
    <xdr:pic macro="[0]!HoraInicio1">
      <xdr:nvPicPr>
        <xdr:cNvPr id="395" name="Gráfico 394" descr="Relógio com preenchimento sólido">
          <a:extLst>
            <a:ext uri="{FF2B5EF4-FFF2-40B4-BE49-F238E27FC236}">
              <a16:creationId xmlns:a16="http://schemas.microsoft.com/office/drawing/2014/main" xmlns="" id="{00000000-0008-0000-00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9916" y="2443277"/>
          <a:ext cx="176363" cy="175496"/>
        </a:xfrm>
        <a:prstGeom prst="rect">
          <a:avLst/>
        </a:prstGeom>
      </xdr:spPr>
    </xdr:pic>
    <xdr:clientData/>
  </xdr:oneCellAnchor>
  <xdr:oneCellAnchor>
    <xdr:from>
      <xdr:col>36</xdr:col>
      <xdr:colOff>409333</xdr:colOff>
      <xdr:row>10</xdr:row>
      <xdr:rowOff>14977</xdr:rowOff>
    </xdr:from>
    <xdr:ext cx="177153" cy="175497"/>
    <xdr:pic macro="[0]!HoraInicio2">
      <xdr:nvPicPr>
        <xdr:cNvPr id="396" name="Gráfico 395" descr="Relógio com preenchimento sólido">
          <a:extLst>
            <a:ext uri="{FF2B5EF4-FFF2-40B4-BE49-F238E27FC236}">
              <a16:creationId xmlns:a16="http://schemas.microsoft.com/office/drawing/2014/main" xmlns="" id="{00000000-0008-0000-00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9554" y="2629683"/>
          <a:ext cx="177153" cy="175497"/>
        </a:xfrm>
        <a:prstGeom prst="rect">
          <a:avLst/>
        </a:prstGeom>
      </xdr:spPr>
    </xdr:pic>
    <xdr:clientData/>
  </xdr:oneCellAnchor>
  <xdr:oneCellAnchor>
    <xdr:from>
      <xdr:col>36</xdr:col>
      <xdr:colOff>408971</xdr:colOff>
      <xdr:row>11</xdr:row>
      <xdr:rowOff>14619</xdr:rowOff>
    </xdr:from>
    <xdr:ext cx="177153" cy="175496"/>
    <xdr:pic macro="[0]!HoraInicio3">
      <xdr:nvPicPr>
        <xdr:cNvPr id="397" name="Gráfico 396" descr="Relógio com preenchimento sólido">
          <a:extLst>
            <a:ext uri="{FF2B5EF4-FFF2-40B4-BE49-F238E27FC236}">
              <a16:creationId xmlns:a16="http://schemas.microsoft.com/office/drawing/2014/main" xmlns="" id="{00000000-0008-0000-00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9192" y="2816090"/>
          <a:ext cx="177153" cy="175496"/>
        </a:xfrm>
        <a:prstGeom prst="rect">
          <a:avLst/>
        </a:prstGeom>
      </xdr:spPr>
    </xdr:pic>
    <xdr:clientData/>
  </xdr:oneCellAnchor>
  <xdr:oneCellAnchor>
    <xdr:from>
      <xdr:col>36</xdr:col>
      <xdr:colOff>409336</xdr:colOff>
      <xdr:row>12</xdr:row>
      <xdr:rowOff>5992</xdr:rowOff>
    </xdr:from>
    <xdr:ext cx="177153" cy="177434"/>
    <xdr:pic macro="[0]!HoraInicio4">
      <xdr:nvPicPr>
        <xdr:cNvPr id="398" name="Gráfico 397" descr="Relógio com preenchimento sólido">
          <a:extLst>
            <a:ext uri="{FF2B5EF4-FFF2-40B4-BE49-F238E27FC236}">
              <a16:creationId xmlns:a16="http://schemas.microsoft.com/office/drawing/2014/main" xmlns="" id="{00000000-0008-0000-00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9557" y="2994227"/>
          <a:ext cx="177153" cy="177434"/>
        </a:xfrm>
        <a:prstGeom prst="rect">
          <a:avLst/>
        </a:prstGeom>
      </xdr:spPr>
    </xdr:pic>
    <xdr:clientData/>
  </xdr:oneCellAnchor>
  <xdr:oneCellAnchor>
    <xdr:from>
      <xdr:col>36</xdr:col>
      <xdr:colOff>408974</xdr:colOff>
      <xdr:row>13</xdr:row>
      <xdr:rowOff>5633</xdr:rowOff>
    </xdr:from>
    <xdr:ext cx="177153" cy="177434"/>
    <xdr:pic macro="[0]!HoraInicio5">
      <xdr:nvPicPr>
        <xdr:cNvPr id="399" name="Gráfico 398" descr="Relógio com preenchimento sólido">
          <a:extLst>
            <a:ext uri="{FF2B5EF4-FFF2-40B4-BE49-F238E27FC236}">
              <a16:creationId xmlns:a16="http://schemas.microsoft.com/office/drawing/2014/main" xmlns="" id="{00000000-0008-0000-00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9195" y="3180633"/>
          <a:ext cx="177153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14</xdr:row>
      <xdr:rowOff>5274</xdr:rowOff>
    </xdr:from>
    <xdr:ext cx="177153" cy="177434"/>
    <xdr:pic macro="[0]!HoraInicio6">
      <xdr:nvPicPr>
        <xdr:cNvPr id="400" name="Gráfico 399" descr="Relógio com preenchimento sólido">
          <a:extLst>
            <a:ext uri="{FF2B5EF4-FFF2-40B4-BE49-F238E27FC236}">
              <a16:creationId xmlns:a16="http://schemas.microsoft.com/office/drawing/2014/main" xmlns="" id="{00000000-0008-0000-00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833" y="3367039"/>
          <a:ext cx="177153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15</xdr:row>
      <xdr:rowOff>14259</xdr:rowOff>
    </xdr:from>
    <xdr:ext cx="177153" cy="175496"/>
    <xdr:pic macro="[0]!HoraInicio7">
      <xdr:nvPicPr>
        <xdr:cNvPr id="401" name="Gráfico 400" descr="Relógio com preenchimento sólido">
          <a:extLst>
            <a:ext uri="{FF2B5EF4-FFF2-40B4-BE49-F238E27FC236}">
              <a16:creationId xmlns:a16="http://schemas.microsoft.com/office/drawing/2014/main" xmlns="" id="{00000000-0008-0000-00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833" y="3562788"/>
          <a:ext cx="177153" cy="175496"/>
        </a:xfrm>
        <a:prstGeom prst="rect">
          <a:avLst/>
        </a:prstGeom>
      </xdr:spPr>
    </xdr:pic>
    <xdr:clientData/>
  </xdr:oneCellAnchor>
  <xdr:oneCellAnchor>
    <xdr:from>
      <xdr:col>36</xdr:col>
      <xdr:colOff>408977</xdr:colOff>
      <xdr:row>16</xdr:row>
      <xdr:rowOff>5632</xdr:rowOff>
    </xdr:from>
    <xdr:ext cx="177153" cy="177434"/>
    <xdr:pic macro="[0]!HoraInicio8">
      <xdr:nvPicPr>
        <xdr:cNvPr id="402" name="Gráfico 401" descr="Relógio com preenchimento sólido">
          <a:extLst>
            <a:ext uri="{FF2B5EF4-FFF2-40B4-BE49-F238E27FC236}">
              <a16:creationId xmlns:a16="http://schemas.microsoft.com/office/drawing/2014/main" xmlns="" id="{00000000-0008-0000-00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9198" y="3740926"/>
          <a:ext cx="177153" cy="177434"/>
        </a:xfrm>
        <a:prstGeom prst="rect">
          <a:avLst/>
        </a:prstGeom>
      </xdr:spPr>
    </xdr:pic>
    <xdr:clientData/>
  </xdr:oneCellAnchor>
  <xdr:oneCellAnchor>
    <xdr:from>
      <xdr:col>36</xdr:col>
      <xdr:colOff>408615</xdr:colOff>
      <xdr:row>17</xdr:row>
      <xdr:rowOff>5274</xdr:rowOff>
    </xdr:from>
    <xdr:ext cx="177153" cy="177434"/>
    <xdr:pic macro="[0]!HoraInicio9">
      <xdr:nvPicPr>
        <xdr:cNvPr id="403" name="Gráfico 402" descr="Relógio com preenchimento sólido">
          <a:extLst>
            <a:ext uri="{FF2B5EF4-FFF2-40B4-BE49-F238E27FC236}">
              <a16:creationId xmlns:a16="http://schemas.microsoft.com/office/drawing/2014/main" xmlns="" id="{00000000-0008-0000-00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836" y="3927333"/>
          <a:ext cx="177153" cy="177434"/>
        </a:xfrm>
        <a:prstGeom prst="rect">
          <a:avLst/>
        </a:prstGeom>
      </xdr:spPr>
    </xdr:pic>
    <xdr:clientData/>
  </xdr:oneCellAnchor>
  <xdr:oneCellAnchor>
    <xdr:from>
      <xdr:col>36</xdr:col>
      <xdr:colOff>408253</xdr:colOff>
      <xdr:row>18</xdr:row>
      <xdr:rowOff>4915</xdr:rowOff>
    </xdr:from>
    <xdr:ext cx="177153" cy="177434"/>
    <xdr:pic macro="[0]!HoraInicio10">
      <xdr:nvPicPr>
        <xdr:cNvPr id="404" name="Gráfico 403" descr="Relógio com preenchimento sólido">
          <a:extLst>
            <a:ext uri="{FF2B5EF4-FFF2-40B4-BE49-F238E27FC236}">
              <a16:creationId xmlns:a16="http://schemas.microsoft.com/office/drawing/2014/main" xmlns="" id="{00000000-0008-0000-00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474" y="4113739"/>
          <a:ext cx="177153" cy="177434"/>
        </a:xfrm>
        <a:prstGeom prst="rect">
          <a:avLst/>
        </a:prstGeom>
      </xdr:spPr>
    </xdr:pic>
    <xdr:clientData/>
  </xdr:oneCellAnchor>
  <xdr:oneCellAnchor>
    <xdr:from>
      <xdr:col>41</xdr:col>
      <xdr:colOff>400350</xdr:colOff>
      <xdr:row>9</xdr:row>
      <xdr:rowOff>14977</xdr:rowOff>
    </xdr:from>
    <xdr:ext cx="174385" cy="175496"/>
    <xdr:pic macro="[0]!HoraFinal1">
      <xdr:nvPicPr>
        <xdr:cNvPr id="405" name="Gráfico 404" descr="Relógio com preenchimento sólido">
          <a:extLst>
            <a:ext uri="{FF2B5EF4-FFF2-40B4-BE49-F238E27FC236}">
              <a16:creationId xmlns:a16="http://schemas.microsoft.com/office/drawing/2014/main" xmlns="" id="{00000000-0008-0000-00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2115" y="2442918"/>
          <a:ext cx="174385" cy="175496"/>
        </a:xfrm>
        <a:prstGeom prst="rect">
          <a:avLst/>
        </a:prstGeom>
      </xdr:spPr>
    </xdr:pic>
    <xdr:clientData/>
  </xdr:oneCellAnchor>
  <xdr:oneCellAnchor>
    <xdr:from>
      <xdr:col>41</xdr:col>
      <xdr:colOff>399988</xdr:colOff>
      <xdr:row>10</xdr:row>
      <xdr:rowOff>14618</xdr:rowOff>
    </xdr:from>
    <xdr:ext cx="174385" cy="175497"/>
    <xdr:pic macro="[0]!HoraFinal2">
      <xdr:nvPicPr>
        <xdr:cNvPr id="406" name="Gráfico 405" descr="Relógio com preenchimento sólido">
          <a:extLst>
            <a:ext uri="{FF2B5EF4-FFF2-40B4-BE49-F238E27FC236}">
              <a16:creationId xmlns:a16="http://schemas.microsoft.com/office/drawing/2014/main" xmlns="" id="{00000000-0008-0000-00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753" y="2629324"/>
          <a:ext cx="174385" cy="175497"/>
        </a:xfrm>
        <a:prstGeom prst="rect">
          <a:avLst/>
        </a:prstGeom>
      </xdr:spPr>
    </xdr:pic>
    <xdr:clientData/>
  </xdr:oneCellAnchor>
  <xdr:oneCellAnchor>
    <xdr:from>
      <xdr:col>41</xdr:col>
      <xdr:colOff>399626</xdr:colOff>
      <xdr:row>11</xdr:row>
      <xdr:rowOff>14260</xdr:rowOff>
    </xdr:from>
    <xdr:ext cx="174385" cy="175496"/>
    <xdr:pic macro="[0]!HoraFinal3">
      <xdr:nvPicPr>
        <xdr:cNvPr id="407" name="Gráfico 406" descr="Relógio com preenchimento sólido">
          <a:extLst>
            <a:ext uri="{FF2B5EF4-FFF2-40B4-BE49-F238E27FC236}">
              <a16:creationId xmlns:a16="http://schemas.microsoft.com/office/drawing/2014/main" xmlns="" id="{00000000-0008-0000-00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391" y="2815731"/>
          <a:ext cx="174385" cy="175496"/>
        </a:xfrm>
        <a:prstGeom prst="rect">
          <a:avLst/>
        </a:prstGeom>
      </xdr:spPr>
    </xdr:pic>
    <xdr:clientData/>
  </xdr:oneCellAnchor>
  <xdr:oneCellAnchor>
    <xdr:from>
      <xdr:col>41</xdr:col>
      <xdr:colOff>399991</xdr:colOff>
      <xdr:row>12</xdr:row>
      <xdr:rowOff>5633</xdr:rowOff>
    </xdr:from>
    <xdr:ext cx="174385" cy="177434"/>
    <xdr:pic macro="[0]!HoraFinal4">
      <xdr:nvPicPr>
        <xdr:cNvPr id="408" name="Gráfico 407" descr="Relógio com preenchimento sólido">
          <a:extLst>
            <a:ext uri="{FF2B5EF4-FFF2-40B4-BE49-F238E27FC236}">
              <a16:creationId xmlns:a16="http://schemas.microsoft.com/office/drawing/2014/main" xmlns="" id="{00000000-0008-0000-00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756" y="2993868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399629</xdr:colOff>
      <xdr:row>13</xdr:row>
      <xdr:rowOff>5274</xdr:rowOff>
    </xdr:from>
    <xdr:ext cx="174385" cy="177434"/>
    <xdr:pic macro="[0]!HoraFinal5">
      <xdr:nvPicPr>
        <xdr:cNvPr id="409" name="Gráfico 408" descr="Relógio com preenchimento sólido">
          <a:extLst>
            <a:ext uri="{FF2B5EF4-FFF2-40B4-BE49-F238E27FC236}">
              <a16:creationId xmlns:a16="http://schemas.microsoft.com/office/drawing/2014/main" xmlns="" id="{00000000-0008-0000-00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394" y="318027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14</xdr:row>
      <xdr:rowOff>4915</xdr:rowOff>
    </xdr:from>
    <xdr:ext cx="174385" cy="177434"/>
    <xdr:pic macro="[0]!HoraFinal6">
      <xdr:nvPicPr>
        <xdr:cNvPr id="410" name="Gráfico 409" descr="Relógio com preenchimento sólido">
          <a:extLst>
            <a:ext uri="{FF2B5EF4-FFF2-40B4-BE49-F238E27FC236}">
              <a16:creationId xmlns:a16="http://schemas.microsoft.com/office/drawing/2014/main" xmlns="" id="{00000000-0008-0000-00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032" y="3366680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15</xdr:row>
      <xdr:rowOff>13900</xdr:rowOff>
    </xdr:from>
    <xdr:ext cx="174385" cy="175496"/>
    <xdr:pic macro="[0]!HoraFinal7">
      <xdr:nvPicPr>
        <xdr:cNvPr id="411" name="Gráfico 410" descr="Relógio com preenchimento sólido">
          <a:extLst>
            <a:ext uri="{FF2B5EF4-FFF2-40B4-BE49-F238E27FC236}">
              <a16:creationId xmlns:a16="http://schemas.microsoft.com/office/drawing/2014/main" xmlns="" id="{00000000-0008-0000-00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032" y="3562429"/>
          <a:ext cx="174385" cy="175496"/>
        </a:xfrm>
        <a:prstGeom prst="rect">
          <a:avLst/>
        </a:prstGeom>
      </xdr:spPr>
    </xdr:pic>
    <xdr:clientData/>
  </xdr:oneCellAnchor>
  <xdr:oneCellAnchor>
    <xdr:from>
      <xdr:col>41</xdr:col>
      <xdr:colOff>399632</xdr:colOff>
      <xdr:row>16</xdr:row>
      <xdr:rowOff>5273</xdr:rowOff>
    </xdr:from>
    <xdr:ext cx="174385" cy="177434"/>
    <xdr:pic macro="[0]!HoraFinal8">
      <xdr:nvPicPr>
        <xdr:cNvPr id="412" name="Gráfico 411" descr="Relógio com preenchimento sólido">
          <a:extLst>
            <a:ext uri="{FF2B5EF4-FFF2-40B4-BE49-F238E27FC236}">
              <a16:creationId xmlns:a16="http://schemas.microsoft.com/office/drawing/2014/main" xmlns="" id="{00000000-0008-0000-00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397" y="3740567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399270</xdr:colOff>
      <xdr:row>17</xdr:row>
      <xdr:rowOff>4915</xdr:rowOff>
    </xdr:from>
    <xdr:ext cx="174385" cy="177434"/>
    <xdr:pic macro="[0]!HoraFinal9">
      <xdr:nvPicPr>
        <xdr:cNvPr id="413" name="Gráfico 412" descr="Relógio com preenchimento sólido">
          <a:extLst>
            <a:ext uri="{FF2B5EF4-FFF2-40B4-BE49-F238E27FC236}">
              <a16:creationId xmlns:a16="http://schemas.microsoft.com/office/drawing/2014/main" xmlns="" id="{00000000-0008-0000-00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1035" y="392697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398908</xdr:colOff>
      <xdr:row>18</xdr:row>
      <xdr:rowOff>4556</xdr:rowOff>
    </xdr:from>
    <xdr:ext cx="174385" cy="177434"/>
    <xdr:pic macro="[0]!HoraFinal10">
      <xdr:nvPicPr>
        <xdr:cNvPr id="414" name="Gráfico 413" descr="Relógio com preenchimento sólido">
          <a:extLst>
            <a:ext uri="{FF2B5EF4-FFF2-40B4-BE49-F238E27FC236}">
              <a16:creationId xmlns:a16="http://schemas.microsoft.com/office/drawing/2014/main" xmlns="" id="{00000000-0008-0000-00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70673" y="4113380"/>
          <a:ext cx="174385" cy="17743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552450</xdr:colOff>
          <xdr:row>10</xdr:row>
          <xdr:rowOff>9525</xdr:rowOff>
        </xdr:to>
        <xdr:sp macro="" textlink="">
          <xdr:nvSpPr>
            <xdr:cNvPr id="3203" name="Drop Dow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xmlns="" id="{00000000-0008-0000-00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552450</xdr:colOff>
          <xdr:row>11</xdr:row>
          <xdr:rowOff>9525</xdr:rowOff>
        </xdr:to>
        <xdr:sp macro="" textlink="">
          <xdr:nvSpPr>
            <xdr:cNvPr id="3204" name="Drop Dow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xmlns=""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552450</xdr:colOff>
          <xdr:row>12</xdr:row>
          <xdr:rowOff>9525</xdr:rowOff>
        </xdr:to>
        <xdr:sp macro="" textlink="">
          <xdr:nvSpPr>
            <xdr:cNvPr id="3205" name="Drop Dow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xmlns="" id="{00000000-0008-0000-00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552450</xdr:colOff>
          <xdr:row>13</xdr:row>
          <xdr:rowOff>9525</xdr:rowOff>
        </xdr:to>
        <xdr:sp macro="" textlink="">
          <xdr:nvSpPr>
            <xdr:cNvPr id="3206" name="Drop Dow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xmlns="" id="{00000000-0008-0000-00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552450</xdr:colOff>
          <xdr:row>14</xdr:row>
          <xdr:rowOff>9525</xdr:rowOff>
        </xdr:to>
        <xdr:sp macro="" textlink="">
          <xdr:nvSpPr>
            <xdr:cNvPr id="3207" name="Drop Dow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xmlns="" id="{00000000-0008-0000-00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552450</xdr:colOff>
          <xdr:row>15</xdr:row>
          <xdr:rowOff>9525</xdr:rowOff>
        </xdr:to>
        <xdr:sp macro="" textlink="">
          <xdr:nvSpPr>
            <xdr:cNvPr id="3208" name="Drop Dow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xmlns="" id="{00000000-0008-0000-00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552450</xdr:colOff>
          <xdr:row>16</xdr:row>
          <xdr:rowOff>9525</xdr:rowOff>
        </xdr:to>
        <xdr:sp macro="" textlink="">
          <xdr:nvSpPr>
            <xdr:cNvPr id="3209" name="Drop Dow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xmlns="" id="{00000000-0008-0000-00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552450</xdr:colOff>
          <xdr:row>17</xdr:row>
          <xdr:rowOff>9525</xdr:rowOff>
        </xdr:to>
        <xdr:sp macro="" textlink="">
          <xdr:nvSpPr>
            <xdr:cNvPr id="3210" name="Drop Dow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xmlns=""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552450</xdr:colOff>
          <xdr:row>18</xdr:row>
          <xdr:rowOff>9525</xdr:rowOff>
        </xdr:to>
        <xdr:sp macro="" textlink="">
          <xdr:nvSpPr>
            <xdr:cNvPr id="3211" name="Drop Dow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xmlns=""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552450</xdr:colOff>
          <xdr:row>19</xdr:row>
          <xdr:rowOff>9525</xdr:rowOff>
        </xdr:to>
        <xdr:sp macro="" textlink="">
          <xdr:nvSpPr>
            <xdr:cNvPr id="3212" name="Drop Dow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xmlns="" id="{00000000-0008-0000-00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425" name="Gráfico 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3695" y="2430795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78578"/>
    <xdr:pic macro="[0]!DataInicio2">
      <xdr:nvPicPr>
        <xdr:cNvPr id="426" name="Gráfico 3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6754" y="2620381"/>
          <a:ext cx="180525" cy="178578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427" name="Gráfico 3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2365" y="2801794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0451"/>
    <xdr:pic macro="[0]!DataInicio4">
      <xdr:nvPicPr>
        <xdr:cNvPr id="428" name="Gráfico 3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5424" y="2991381"/>
          <a:ext cx="180525" cy="180451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429" name="Gráfico 4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5424" y="3174940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0451"/>
    <xdr:pic macro="[0]!DataInicio6">
      <xdr:nvPicPr>
        <xdr:cNvPr id="430" name="Gráfico 4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29979" y="3364526"/>
          <a:ext cx="180525" cy="180451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431" name="Gráfico 4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7153" y="3735525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79474"/>
    <xdr:pic macro="[0]!DataInicio7">
      <xdr:nvPicPr>
        <xdr:cNvPr id="432" name="Gráfico 4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7806" y="3542438"/>
          <a:ext cx="180525" cy="179474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77869"/>
    <xdr:pic macro="[0]!DataInicio10">
      <xdr:nvPicPr>
        <xdr:cNvPr id="433" name="Gráfico 4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6380" y="4114699"/>
          <a:ext cx="180525" cy="177869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79474"/>
    <xdr:pic macro="[0]!DataInicio9">
      <xdr:nvPicPr>
        <xdr:cNvPr id="434" name="Gráfico 4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7033" y="3921611"/>
          <a:ext cx="180525" cy="179474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435" name="Gráfico 4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3128" y="2425712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436" name="Gráfico 4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6187" y="261529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76072"/>
    <xdr:pic macro="[0]!DataFinal3">
      <xdr:nvPicPr>
        <xdr:cNvPr id="437" name="Gráfico 4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1798" y="2800639"/>
          <a:ext cx="185173" cy="176072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438" name="Gráfico 4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4857" y="2986298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76071"/>
    <xdr:pic macro="[0]!DataFinal5">
      <xdr:nvPicPr>
        <xdr:cNvPr id="439" name="Gráfico 5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4857" y="3173785"/>
          <a:ext cx="185173" cy="176071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440" name="Gráfico 5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79412" y="3359443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76072"/>
    <xdr:pic macro="[0]!DataFinal8">
      <xdr:nvPicPr>
        <xdr:cNvPr id="441" name="Gráfico 5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6586" y="3734370"/>
          <a:ext cx="180525" cy="176072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79474"/>
    <xdr:pic macro="[0]!DataFinal7">
      <xdr:nvPicPr>
        <xdr:cNvPr id="442" name="Gráfico 5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7239" y="3537355"/>
          <a:ext cx="180525" cy="179474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443" name="Gráfico 5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5813" y="4109616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79474"/>
    <xdr:pic macro="[0]!DataFinal9">
      <xdr:nvPicPr>
        <xdr:cNvPr id="444" name="Gráfico 5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6466" y="3916528"/>
          <a:ext cx="180525" cy="179474"/>
        </a:xfrm>
        <a:prstGeom prst="rect">
          <a:avLst/>
        </a:prstGeom>
      </xdr:spPr>
    </xdr:pic>
    <xdr:clientData/>
  </xdr:oneCellAnchor>
  <xdr:oneCellAnchor>
    <xdr:from>
      <xdr:col>36</xdr:col>
      <xdr:colOff>409695</xdr:colOff>
      <xdr:row>9</xdr:row>
      <xdr:rowOff>15336</xdr:rowOff>
    </xdr:from>
    <xdr:ext cx="176749" cy="175303"/>
    <xdr:pic macro="[0]!HoraInicio1">
      <xdr:nvPicPr>
        <xdr:cNvPr id="445" name="Gráfico 15" descr="Relógio com preenchimento sólido">
          <a:extLst>
            <a:ext uri="{FF2B5EF4-FFF2-40B4-BE49-F238E27FC236}">
              <a16:creationId xmlns:a16="http://schemas.microsoft.com/office/drawing/2014/main" xmlns="" id="{00000000-0008-0000-00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2298" y="2440774"/>
          <a:ext cx="176749" cy="175303"/>
        </a:xfrm>
        <a:prstGeom prst="rect">
          <a:avLst/>
        </a:prstGeom>
      </xdr:spPr>
    </xdr:pic>
    <xdr:clientData/>
  </xdr:oneCellAnchor>
  <xdr:oneCellAnchor>
    <xdr:from>
      <xdr:col>36</xdr:col>
      <xdr:colOff>409333</xdr:colOff>
      <xdr:row>10</xdr:row>
      <xdr:rowOff>14977</xdr:rowOff>
    </xdr:from>
    <xdr:ext cx="177539" cy="175304"/>
    <xdr:pic macro="[0]!HoraInicio2">
      <xdr:nvPicPr>
        <xdr:cNvPr id="446" name="Gráfico 192" descr="Relógio com preenchimento sólido">
          <a:extLst>
            <a:ext uri="{FF2B5EF4-FFF2-40B4-BE49-F238E27FC236}">
              <a16:creationId xmlns:a16="http://schemas.microsoft.com/office/drawing/2014/main" xmlns="" id="{00000000-0008-0000-00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936" y="2626987"/>
          <a:ext cx="177539" cy="175304"/>
        </a:xfrm>
        <a:prstGeom prst="rect">
          <a:avLst/>
        </a:prstGeom>
      </xdr:spPr>
    </xdr:pic>
    <xdr:clientData/>
  </xdr:oneCellAnchor>
  <xdr:oneCellAnchor>
    <xdr:from>
      <xdr:col>36</xdr:col>
      <xdr:colOff>408971</xdr:colOff>
      <xdr:row>11</xdr:row>
      <xdr:rowOff>14619</xdr:rowOff>
    </xdr:from>
    <xdr:ext cx="177539" cy="175305"/>
    <xdr:pic macro="[0]!HoraInicio3">
      <xdr:nvPicPr>
        <xdr:cNvPr id="447" name="Gráfico 193" descr="Relógio com preenchimento sólido">
          <a:extLst>
            <a:ext uri="{FF2B5EF4-FFF2-40B4-BE49-F238E27FC236}">
              <a16:creationId xmlns:a16="http://schemas.microsoft.com/office/drawing/2014/main" xmlns="" id="{00000000-0008-0000-00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574" y="2813201"/>
          <a:ext cx="177539" cy="175305"/>
        </a:xfrm>
        <a:prstGeom prst="rect">
          <a:avLst/>
        </a:prstGeom>
      </xdr:spPr>
    </xdr:pic>
    <xdr:clientData/>
  </xdr:oneCellAnchor>
  <xdr:oneCellAnchor>
    <xdr:from>
      <xdr:col>36</xdr:col>
      <xdr:colOff>409336</xdr:colOff>
      <xdr:row>12</xdr:row>
      <xdr:rowOff>5992</xdr:rowOff>
    </xdr:from>
    <xdr:ext cx="177539" cy="177434"/>
    <xdr:pic macro="[0]!HoraInicio4">
      <xdr:nvPicPr>
        <xdr:cNvPr id="448" name="Gráfico 194" descr="Relógio com preenchimento sólido">
          <a:extLst>
            <a:ext uri="{FF2B5EF4-FFF2-40B4-BE49-F238E27FC236}">
              <a16:creationId xmlns:a16="http://schemas.microsoft.com/office/drawing/2014/main" xmlns="" id="{00000000-0008-0000-00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939" y="2991147"/>
          <a:ext cx="177539" cy="177434"/>
        </a:xfrm>
        <a:prstGeom prst="rect">
          <a:avLst/>
        </a:prstGeom>
      </xdr:spPr>
    </xdr:pic>
    <xdr:clientData/>
  </xdr:oneCellAnchor>
  <xdr:oneCellAnchor>
    <xdr:from>
      <xdr:col>36</xdr:col>
      <xdr:colOff>408974</xdr:colOff>
      <xdr:row>13</xdr:row>
      <xdr:rowOff>5633</xdr:rowOff>
    </xdr:from>
    <xdr:ext cx="177539" cy="177434"/>
    <xdr:pic macro="[0]!HoraInicio5">
      <xdr:nvPicPr>
        <xdr:cNvPr id="449" name="Gráfico 195" descr="Relógio com preenchimento sólido">
          <a:extLst>
            <a:ext uri="{FF2B5EF4-FFF2-40B4-BE49-F238E27FC236}">
              <a16:creationId xmlns:a16="http://schemas.microsoft.com/office/drawing/2014/main" xmlns="" id="{00000000-0008-0000-00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577" y="3177360"/>
          <a:ext cx="177539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14</xdr:row>
      <xdr:rowOff>5274</xdr:rowOff>
    </xdr:from>
    <xdr:ext cx="177539" cy="177434"/>
    <xdr:pic macro="[0]!HoraInicio6">
      <xdr:nvPicPr>
        <xdr:cNvPr id="450" name="Gráfico 196" descr="Relógio com preenchimento sólido">
          <a:extLst>
            <a:ext uri="{FF2B5EF4-FFF2-40B4-BE49-F238E27FC236}">
              <a16:creationId xmlns:a16="http://schemas.microsoft.com/office/drawing/2014/main" xmlns="" id="{00000000-0008-0000-00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215" y="3363573"/>
          <a:ext cx="177539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15</xdr:row>
      <xdr:rowOff>14259</xdr:rowOff>
    </xdr:from>
    <xdr:ext cx="177539" cy="175303"/>
    <xdr:pic macro="[0]!HoraInicio7">
      <xdr:nvPicPr>
        <xdr:cNvPr id="451" name="Gráfico 197" descr="Relógio com preenchimento sólido">
          <a:extLst>
            <a:ext uri="{FF2B5EF4-FFF2-40B4-BE49-F238E27FC236}">
              <a16:creationId xmlns:a16="http://schemas.microsoft.com/office/drawing/2014/main" xmlns="" id="{00000000-0008-0000-00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215" y="3559130"/>
          <a:ext cx="177539" cy="175303"/>
        </a:xfrm>
        <a:prstGeom prst="rect">
          <a:avLst/>
        </a:prstGeom>
      </xdr:spPr>
    </xdr:pic>
    <xdr:clientData/>
  </xdr:oneCellAnchor>
  <xdr:oneCellAnchor>
    <xdr:from>
      <xdr:col>36</xdr:col>
      <xdr:colOff>408977</xdr:colOff>
      <xdr:row>16</xdr:row>
      <xdr:rowOff>5632</xdr:rowOff>
    </xdr:from>
    <xdr:ext cx="177539" cy="177434"/>
    <xdr:pic macro="[0]!HoraInicio8">
      <xdr:nvPicPr>
        <xdr:cNvPr id="452" name="Gráfico 198" descr="Relógio com preenchimento sólido">
          <a:extLst>
            <a:ext uri="{FF2B5EF4-FFF2-40B4-BE49-F238E27FC236}">
              <a16:creationId xmlns:a16="http://schemas.microsoft.com/office/drawing/2014/main" xmlns="" id="{00000000-0008-0000-00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580" y="3737075"/>
          <a:ext cx="177539" cy="177434"/>
        </a:xfrm>
        <a:prstGeom prst="rect">
          <a:avLst/>
        </a:prstGeom>
      </xdr:spPr>
    </xdr:pic>
    <xdr:clientData/>
  </xdr:oneCellAnchor>
  <xdr:oneCellAnchor>
    <xdr:from>
      <xdr:col>36</xdr:col>
      <xdr:colOff>408615</xdr:colOff>
      <xdr:row>17</xdr:row>
      <xdr:rowOff>5274</xdr:rowOff>
    </xdr:from>
    <xdr:ext cx="177539" cy="177434"/>
    <xdr:pic macro="[0]!HoraInicio9">
      <xdr:nvPicPr>
        <xdr:cNvPr id="453" name="Gráfico 199" descr="Relógio com preenchimento sólido">
          <a:extLst>
            <a:ext uri="{FF2B5EF4-FFF2-40B4-BE49-F238E27FC236}">
              <a16:creationId xmlns:a16="http://schemas.microsoft.com/office/drawing/2014/main" xmlns="" id="{00000000-0008-0000-00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218" y="3923289"/>
          <a:ext cx="177539" cy="177434"/>
        </a:xfrm>
        <a:prstGeom prst="rect">
          <a:avLst/>
        </a:prstGeom>
      </xdr:spPr>
    </xdr:pic>
    <xdr:clientData/>
  </xdr:oneCellAnchor>
  <xdr:oneCellAnchor>
    <xdr:from>
      <xdr:col>36</xdr:col>
      <xdr:colOff>408253</xdr:colOff>
      <xdr:row>18</xdr:row>
      <xdr:rowOff>4915</xdr:rowOff>
    </xdr:from>
    <xdr:ext cx="177539" cy="177434"/>
    <xdr:pic macro="[0]!HoraInicio10">
      <xdr:nvPicPr>
        <xdr:cNvPr id="454" name="Gráfico 200" descr="Relógio com preenchimento sólido">
          <a:extLst>
            <a:ext uri="{FF2B5EF4-FFF2-40B4-BE49-F238E27FC236}">
              <a16:creationId xmlns:a16="http://schemas.microsoft.com/office/drawing/2014/main" xmlns="" id="{00000000-0008-0000-00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0856" y="4109503"/>
          <a:ext cx="177539" cy="177434"/>
        </a:xfrm>
        <a:prstGeom prst="rect">
          <a:avLst/>
        </a:prstGeom>
      </xdr:spPr>
    </xdr:pic>
    <xdr:clientData/>
  </xdr:oneCellAnchor>
  <xdr:oneCellAnchor>
    <xdr:from>
      <xdr:col>41</xdr:col>
      <xdr:colOff>400350</xdr:colOff>
      <xdr:row>9</xdr:row>
      <xdr:rowOff>14977</xdr:rowOff>
    </xdr:from>
    <xdr:ext cx="174385" cy="175303"/>
    <xdr:pic macro="[0]!HoraFinal1">
      <xdr:nvPicPr>
        <xdr:cNvPr id="455" name="Gráfico 201" descr="Relógio com preenchimento sólido">
          <a:extLst>
            <a:ext uri="{FF2B5EF4-FFF2-40B4-BE49-F238E27FC236}">
              <a16:creationId xmlns:a16="http://schemas.microsoft.com/office/drawing/2014/main" xmlns="" id="{00000000-0008-0000-00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8829" y="2440415"/>
          <a:ext cx="174385" cy="175303"/>
        </a:xfrm>
        <a:prstGeom prst="rect">
          <a:avLst/>
        </a:prstGeom>
      </xdr:spPr>
    </xdr:pic>
    <xdr:clientData/>
  </xdr:oneCellAnchor>
  <xdr:oneCellAnchor>
    <xdr:from>
      <xdr:col>41</xdr:col>
      <xdr:colOff>399988</xdr:colOff>
      <xdr:row>10</xdr:row>
      <xdr:rowOff>14618</xdr:rowOff>
    </xdr:from>
    <xdr:ext cx="174385" cy="175304"/>
    <xdr:pic macro="[0]!HoraFinal2">
      <xdr:nvPicPr>
        <xdr:cNvPr id="456" name="Gráfico 202" descr="Relógio com preenchimento sólido">
          <a:extLst>
            <a:ext uri="{FF2B5EF4-FFF2-40B4-BE49-F238E27FC236}">
              <a16:creationId xmlns:a16="http://schemas.microsoft.com/office/drawing/2014/main" xmlns="" id="{00000000-0008-0000-00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8467" y="2626628"/>
          <a:ext cx="174385" cy="175304"/>
        </a:xfrm>
        <a:prstGeom prst="rect">
          <a:avLst/>
        </a:prstGeom>
      </xdr:spPr>
    </xdr:pic>
    <xdr:clientData/>
  </xdr:oneCellAnchor>
  <xdr:oneCellAnchor>
    <xdr:from>
      <xdr:col>41</xdr:col>
      <xdr:colOff>399626</xdr:colOff>
      <xdr:row>11</xdr:row>
      <xdr:rowOff>14260</xdr:rowOff>
    </xdr:from>
    <xdr:ext cx="174385" cy="175305"/>
    <xdr:pic macro="[0]!HoraFinal3">
      <xdr:nvPicPr>
        <xdr:cNvPr id="457" name="Gráfico 203" descr="Relógio com preenchimento sólido">
          <a:extLst>
            <a:ext uri="{FF2B5EF4-FFF2-40B4-BE49-F238E27FC236}">
              <a16:creationId xmlns:a16="http://schemas.microsoft.com/office/drawing/2014/main" xmlns="" id="{00000000-0008-0000-00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8105" y="2812842"/>
          <a:ext cx="174385" cy="175305"/>
        </a:xfrm>
        <a:prstGeom prst="rect">
          <a:avLst/>
        </a:prstGeom>
      </xdr:spPr>
    </xdr:pic>
    <xdr:clientData/>
  </xdr:oneCellAnchor>
  <xdr:oneCellAnchor>
    <xdr:from>
      <xdr:col>41</xdr:col>
      <xdr:colOff>399991</xdr:colOff>
      <xdr:row>12</xdr:row>
      <xdr:rowOff>5633</xdr:rowOff>
    </xdr:from>
    <xdr:ext cx="174385" cy="177434"/>
    <xdr:pic macro="[0]!HoraFinal4">
      <xdr:nvPicPr>
        <xdr:cNvPr id="458" name="Gráfico 204" descr="Relógio com preenchimento sólido">
          <a:extLst>
            <a:ext uri="{FF2B5EF4-FFF2-40B4-BE49-F238E27FC236}">
              <a16:creationId xmlns:a16="http://schemas.microsoft.com/office/drawing/2014/main" xmlns="" id="{00000000-0008-0000-00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8470" y="2990788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399629</xdr:colOff>
      <xdr:row>13</xdr:row>
      <xdr:rowOff>5274</xdr:rowOff>
    </xdr:from>
    <xdr:ext cx="174385" cy="177434"/>
    <xdr:pic macro="[0]!HoraFinal5">
      <xdr:nvPicPr>
        <xdr:cNvPr id="459" name="Gráfico 205" descr="Relógio com preenchimento sólido">
          <a:extLst>
            <a:ext uri="{FF2B5EF4-FFF2-40B4-BE49-F238E27FC236}">
              <a16:creationId xmlns:a16="http://schemas.microsoft.com/office/drawing/2014/main" xmlns="" id="{00000000-0008-0000-00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8108" y="3177001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14</xdr:row>
      <xdr:rowOff>4915</xdr:rowOff>
    </xdr:from>
    <xdr:ext cx="174385" cy="177434"/>
    <xdr:pic macro="[0]!HoraFinal6">
      <xdr:nvPicPr>
        <xdr:cNvPr id="460" name="Gráfico 206" descr="Relógio com preenchimento sólido">
          <a:extLst>
            <a:ext uri="{FF2B5EF4-FFF2-40B4-BE49-F238E27FC236}">
              <a16:creationId xmlns:a16="http://schemas.microsoft.com/office/drawing/2014/main" xmlns="" id="{00000000-0008-0000-00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7746" y="336321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15</xdr:row>
      <xdr:rowOff>13900</xdr:rowOff>
    </xdr:from>
    <xdr:ext cx="174385" cy="175303"/>
    <xdr:pic macro="[0]!HoraFinal7">
      <xdr:nvPicPr>
        <xdr:cNvPr id="461" name="Gráfico 207" descr="Relógio com preenchimento sólido">
          <a:extLst>
            <a:ext uri="{FF2B5EF4-FFF2-40B4-BE49-F238E27FC236}">
              <a16:creationId xmlns:a16="http://schemas.microsoft.com/office/drawing/2014/main" xmlns="" id="{00000000-0008-0000-00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7746" y="3558771"/>
          <a:ext cx="174385" cy="175303"/>
        </a:xfrm>
        <a:prstGeom prst="rect">
          <a:avLst/>
        </a:prstGeom>
      </xdr:spPr>
    </xdr:pic>
    <xdr:clientData/>
  </xdr:oneCellAnchor>
  <xdr:oneCellAnchor>
    <xdr:from>
      <xdr:col>41</xdr:col>
      <xdr:colOff>399632</xdr:colOff>
      <xdr:row>16</xdr:row>
      <xdr:rowOff>5273</xdr:rowOff>
    </xdr:from>
    <xdr:ext cx="174385" cy="177434"/>
    <xdr:pic macro="[0]!HoraFinal8">
      <xdr:nvPicPr>
        <xdr:cNvPr id="462" name="Gráfico 208" descr="Relógio com preenchimento sólido">
          <a:extLst>
            <a:ext uri="{FF2B5EF4-FFF2-40B4-BE49-F238E27FC236}">
              <a16:creationId xmlns:a16="http://schemas.microsoft.com/office/drawing/2014/main" xmlns="" id="{00000000-0008-0000-00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8111" y="3736716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399270</xdr:colOff>
      <xdr:row>17</xdr:row>
      <xdr:rowOff>4915</xdr:rowOff>
    </xdr:from>
    <xdr:ext cx="174385" cy="177434"/>
    <xdr:pic macro="[0]!HoraFinal9">
      <xdr:nvPicPr>
        <xdr:cNvPr id="463" name="Gráfico 209" descr="Relógio com preenchimento sólido">
          <a:extLst>
            <a:ext uri="{FF2B5EF4-FFF2-40B4-BE49-F238E27FC236}">
              <a16:creationId xmlns:a16="http://schemas.microsoft.com/office/drawing/2014/main" xmlns="" id="{00000000-0008-0000-00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7749" y="3922930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398908</xdr:colOff>
      <xdr:row>18</xdr:row>
      <xdr:rowOff>4556</xdr:rowOff>
    </xdr:from>
    <xdr:ext cx="174385" cy="177434"/>
    <xdr:pic macro="[0]!HoraFinal10">
      <xdr:nvPicPr>
        <xdr:cNvPr id="464" name="Gráfico 210" descr="Relógio com preenchimento sólido">
          <a:extLst>
            <a:ext uri="{FF2B5EF4-FFF2-40B4-BE49-F238E27FC236}">
              <a16:creationId xmlns:a16="http://schemas.microsoft.com/office/drawing/2014/main" xmlns="" id="{00000000-0008-0000-00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7387" y="4109144"/>
          <a:ext cx="174385" cy="17743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542925</xdr:colOff>
          <xdr:row>10</xdr:row>
          <xdr:rowOff>9525</xdr:rowOff>
        </xdr:to>
        <xdr:sp macro="" textlink="">
          <xdr:nvSpPr>
            <xdr:cNvPr id="3213" name="Drop Dow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xmlns="" id="{00000000-0008-0000-00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542925</xdr:colOff>
          <xdr:row>11</xdr:row>
          <xdr:rowOff>9525</xdr:rowOff>
        </xdr:to>
        <xdr:sp macro="" textlink="">
          <xdr:nvSpPr>
            <xdr:cNvPr id="3214" name="Drop Dow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xmlns="" id="{00000000-0008-0000-00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542925</xdr:colOff>
          <xdr:row>12</xdr:row>
          <xdr:rowOff>9525</xdr:rowOff>
        </xdr:to>
        <xdr:sp macro="" textlink="">
          <xdr:nvSpPr>
            <xdr:cNvPr id="3215" name="Drop Dow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xmlns=""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542925</xdr:colOff>
          <xdr:row>13</xdr:row>
          <xdr:rowOff>9525</xdr:rowOff>
        </xdr:to>
        <xdr:sp macro="" textlink="">
          <xdr:nvSpPr>
            <xdr:cNvPr id="3216" name="Drop Dow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xmlns="" id="{00000000-0008-0000-00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542925</xdr:colOff>
          <xdr:row>14</xdr:row>
          <xdr:rowOff>9525</xdr:rowOff>
        </xdr:to>
        <xdr:sp macro="" textlink="">
          <xdr:nvSpPr>
            <xdr:cNvPr id="3217" name="Drop Dow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xmlns="" id="{00000000-0008-0000-00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542925</xdr:colOff>
          <xdr:row>15</xdr:row>
          <xdr:rowOff>9525</xdr:rowOff>
        </xdr:to>
        <xdr:sp macro="" textlink="">
          <xdr:nvSpPr>
            <xdr:cNvPr id="3218" name="Drop Dow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xmlns="" id="{00000000-0008-0000-00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542925</xdr:colOff>
          <xdr:row>16</xdr:row>
          <xdr:rowOff>9525</xdr:rowOff>
        </xdr:to>
        <xdr:sp macro="" textlink="">
          <xdr:nvSpPr>
            <xdr:cNvPr id="3219" name="Drop Dow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xmlns="" id="{00000000-0008-0000-00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0</xdr:rowOff>
        </xdr:from>
        <xdr:to>
          <xdr:col>43</xdr:col>
          <xdr:colOff>542925</xdr:colOff>
          <xdr:row>17</xdr:row>
          <xdr:rowOff>9525</xdr:rowOff>
        </xdr:to>
        <xdr:sp macro="" textlink="">
          <xdr:nvSpPr>
            <xdr:cNvPr id="3220" name="Drop Dow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xmlns="" id="{00000000-0008-0000-00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542925</xdr:colOff>
          <xdr:row>18</xdr:row>
          <xdr:rowOff>9525</xdr:rowOff>
        </xdr:to>
        <xdr:sp macro="" textlink="">
          <xdr:nvSpPr>
            <xdr:cNvPr id="3221" name="Drop Dow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xmlns="" id="{00000000-0008-0000-00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542925</xdr:colOff>
          <xdr:row>19</xdr:row>
          <xdr:rowOff>9525</xdr:rowOff>
        </xdr:to>
        <xdr:sp macro="" textlink="">
          <xdr:nvSpPr>
            <xdr:cNvPr id="3222" name="Drop Dow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xmlns="" id="{00000000-0008-0000-00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475" name="Gráfico 47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2657" y="2459876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4338"/>
    <xdr:pic macro="[0]!DataInicio2">
      <xdr:nvPicPr>
        <xdr:cNvPr id="476" name="Gráfico 47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5716" y="2655222"/>
          <a:ext cx="180525" cy="184338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477" name="Gráfico 47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1327" y="2842395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6211"/>
    <xdr:pic macro="[0]!DataInicio4">
      <xdr:nvPicPr>
        <xdr:cNvPr id="478" name="Gráfico 47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4386" y="3037740"/>
          <a:ext cx="180525" cy="186211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479" name="Gráfico 47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4386" y="3227059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6211"/>
    <xdr:pic macro="[0]!DataInicio6">
      <xdr:nvPicPr>
        <xdr:cNvPr id="480" name="Gráfico 47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28941" y="3422405"/>
          <a:ext cx="180525" cy="186211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481" name="Gráfico 48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6115" y="380492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5234"/>
    <xdr:pic macro="[0]!DataInicio7">
      <xdr:nvPicPr>
        <xdr:cNvPr id="482" name="Gráfico 48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6768" y="3600317"/>
          <a:ext cx="180525" cy="185234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3629"/>
    <xdr:pic macro="[0]!DataInicio10">
      <xdr:nvPicPr>
        <xdr:cNvPr id="483" name="Gráfico 48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5342" y="4195616"/>
          <a:ext cx="180525" cy="183629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5234"/>
    <xdr:pic macro="[0]!DataInicio9">
      <xdr:nvPicPr>
        <xdr:cNvPr id="484" name="Gráfico 48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35995" y="3991009"/>
          <a:ext cx="180525" cy="185234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485" name="Gráfico 48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66982" y="2454793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486" name="Gráfico 48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70041" y="2650139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1832"/>
    <xdr:pic macro="[0]!DataFinal3">
      <xdr:nvPicPr>
        <xdr:cNvPr id="487" name="Gráfico 48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65652" y="2835480"/>
          <a:ext cx="185173" cy="181832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488" name="Gráfico 48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68711" y="3032657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1831"/>
    <xdr:pic macro="[0]!DataFinal5">
      <xdr:nvPicPr>
        <xdr:cNvPr id="489" name="Gráfico 48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68711" y="3220144"/>
          <a:ext cx="185173" cy="181831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490" name="Gráfico 48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63266" y="3417322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1831"/>
    <xdr:pic macro="[0]!DataFinal8">
      <xdr:nvPicPr>
        <xdr:cNvPr id="491" name="Gráfico 49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70440" y="3798009"/>
          <a:ext cx="180525" cy="181831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5234"/>
    <xdr:pic macro="[0]!DataFinal7">
      <xdr:nvPicPr>
        <xdr:cNvPr id="492" name="Gráfico 49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71093" y="3595234"/>
          <a:ext cx="180525" cy="185234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493" name="Gráfico 49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69667" y="4190533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5234"/>
    <xdr:pic macro="[0]!DataFinal9">
      <xdr:nvPicPr>
        <xdr:cNvPr id="494" name="Gráfico 49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70320" y="3985926"/>
          <a:ext cx="180525" cy="185234"/>
        </a:xfrm>
        <a:prstGeom prst="rect">
          <a:avLst/>
        </a:prstGeom>
      </xdr:spPr>
    </xdr:pic>
    <xdr:clientData/>
  </xdr:oneCellAnchor>
  <xdr:oneCellAnchor>
    <xdr:from>
      <xdr:col>36</xdr:col>
      <xdr:colOff>409695</xdr:colOff>
      <xdr:row>9</xdr:row>
      <xdr:rowOff>15336</xdr:rowOff>
    </xdr:from>
    <xdr:ext cx="174388" cy="181063"/>
    <xdr:pic macro="[0]!HoraInicio1">
      <xdr:nvPicPr>
        <xdr:cNvPr id="495" name="Gráfico 494" descr="Relógio com preenchimento sólido">
          <a:extLst>
            <a:ext uri="{FF2B5EF4-FFF2-40B4-BE49-F238E27FC236}">
              <a16:creationId xmlns:a16="http://schemas.microsoft.com/office/drawing/2014/main" xmlns="" id="{00000000-0008-0000-00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2676" y="2469855"/>
          <a:ext cx="174388" cy="181063"/>
        </a:xfrm>
        <a:prstGeom prst="rect">
          <a:avLst/>
        </a:prstGeom>
      </xdr:spPr>
    </xdr:pic>
    <xdr:clientData/>
  </xdr:oneCellAnchor>
  <xdr:oneCellAnchor>
    <xdr:from>
      <xdr:col>36</xdr:col>
      <xdr:colOff>409333</xdr:colOff>
      <xdr:row>10</xdr:row>
      <xdr:rowOff>14977</xdr:rowOff>
    </xdr:from>
    <xdr:ext cx="175178" cy="181064"/>
    <xdr:pic macro="[0]!HoraInicio2">
      <xdr:nvPicPr>
        <xdr:cNvPr id="496" name="Gráfico 495" descr="Relógio com preenchimento sólido">
          <a:extLst>
            <a:ext uri="{FF2B5EF4-FFF2-40B4-BE49-F238E27FC236}">
              <a16:creationId xmlns:a16="http://schemas.microsoft.com/office/drawing/2014/main" xmlns="" id="{00000000-0008-0000-00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2314" y="2661828"/>
          <a:ext cx="175178" cy="181064"/>
        </a:xfrm>
        <a:prstGeom prst="rect">
          <a:avLst/>
        </a:prstGeom>
      </xdr:spPr>
    </xdr:pic>
    <xdr:clientData/>
  </xdr:oneCellAnchor>
  <xdr:oneCellAnchor>
    <xdr:from>
      <xdr:col>36</xdr:col>
      <xdr:colOff>408971</xdr:colOff>
      <xdr:row>11</xdr:row>
      <xdr:rowOff>14619</xdr:rowOff>
    </xdr:from>
    <xdr:ext cx="175178" cy="181063"/>
    <xdr:pic macro="[0]!HoraInicio3">
      <xdr:nvPicPr>
        <xdr:cNvPr id="497" name="Gráfico 496" descr="Relógio com preenchimento sólido">
          <a:extLst>
            <a:ext uri="{FF2B5EF4-FFF2-40B4-BE49-F238E27FC236}">
              <a16:creationId xmlns:a16="http://schemas.microsoft.com/office/drawing/2014/main" xmlns="" id="{00000000-0008-0000-00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952" y="2853802"/>
          <a:ext cx="175178" cy="181063"/>
        </a:xfrm>
        <a:prstGeom prst="rect">
          <a:avLst/>
        </a:prstGeom>
      </xdr:spPr>
    </xdr:pic>
    <xdr:clientData/>
  </xdr:oneCellAnchor>
  <xdr:oneCellAnchor>
    <xdr:from>
      <xdr:col>36</xdr:col>
      <xdr:colOff>409336</xdr:colOff>
      <xdr:row>12</xdr:row>
      <xdr:rowOff>5992</xdr:rowOff>
    </xdr:from>
    <xdr:ext cx="175178" cy="177434"/>
    <xdr:pic macro="[0]!HoraInicio4">
      <xdr:nvPicPr>
        <xdr:cNvPr id="498" name="Gráfico 497" descr="Relógio com preenchimento sólido">
          <a:extLst>
            <a:ext uri="{FF2B5EF4-FFF2-40B4-BE49-F238E27FC236}">
              <a16:creationId xmlns:a16="http://schemas.microsoft.com/office/drawing/2014/main" xmlns="" id="{00000000-0008-0000-00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2317" y="3037506"/>
          <a:ext cx="175178" cy="177434"/>
        </a:xfrm>
        <a:prstGeom prst="rect">
          <a:avLst/>
        </a:prstGeom>
      </xdr:spPr>
    </xdr:pic>
    <xdr:clientData/>
  </xdr:oneCellAnchor>
  <xdr:oneCellAnchor>
    <xdr:from>
      <xdr:col>36</xdr:col>
      <xdr:colOff>408974</xdr:colOff>
      <xdr:row>13</xdr:row>
      <xdr:rowOff>5633</xdr:rowOff>
    </xdr:from>
    <xdr:ext cx="175178" cy="177434"/>
    <xdr:pic macro="[0]!HoraInicio5">
      <xdr:nvPicPr>
        <xdr:cNvPr id="499" name="Gráfico 498" descr="Relógio com preenchimento sólido">
          <a:extLst>
            <a:ext uri="{FF2B5EF4-FFF2-40B4-BE49-F238E27FC236}">
              <a16:creationId xmlns:a16="http://schemas.microsoft.com/office/drawing/2014/main" xmlns="" id="{00000000-0008-0000-00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955" y="3229479"/>
          <a:ext cx="175178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14</xdr:row>
      <xdr:rowOff>5274</xdr:rowOff>
    </xdr:from>
    <xdr:ext cx="175178" cy="177434"/>
    <xdr:pic macro="[0]!HoraInicio6">
      <xdr:nvPicPr>
        <xdr:cNvPr id="500" name="Gráfico 499" descr="Relógio com preenchimento sólido">
          <a:extLst>
            <a:ext uri="{FF2B5EF4-FFF2-40B4-BE49-F238E27FC236}">
              <a16:creationId xmlns:a16="http://schemas.microsoft.com/office/drawing/2014/main" xmlns="" id="{00000000-0008-0000-00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593" y="3421452"/>
          <a:ext cx="175178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15</xdr:row>
      <xdr:rowOff>14259</xdr:rowOff>
    </xdr:from>
    <xdr:ext cx="175178" cy="181062"/>
    <xdr:pic macro="[0]!HoraInicio7">
      <xdr:nvPicPr>
        <xdr:cNvPr id="501" name="Gráfico 500" descr="Relógio com preenchimento sólido">
          <a:extLst>
            <a:ext uri="{FF2B5EF4-FFF2-40B4-BE49-F238E27FC236}">
              <a16:creationId xmlns:a16="http://schemas.microsoft.com/office/drawing/2014/main" xmlns="" id="{00000000-0008-0000-00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593" y="3622769"/>
          <a:ext cx="175178" cy="181062"/>
        </a:xfrm>
        <a:prstGeom prst="rect">
          <a:avLst/>
        </a:prstGeom>
      </xdr:spPr>
    </xdr:pic>
    <xdr:clientData/>
  </xdr:oneCellAnchor>
  <xdr:oneCellAnchor>
    <xdr:from>
      <xdr:col>36</xdr:col>
      <xdr:colOff>408977</xdr:colOff>
      <xdr:row>16</xdr:row>
      <xdr:rowOff>5632</xdr:rowOff>
    </xdr:from>
    <xdr:ext cx="175178" cy="177434"/>
    <xdr:pic macro="[0]!HoraInicio8">
      <xdr:nvPicPr>
        <xdr:cNvPr id="502" name="Gráfico 501" descr="Relógio com preenchimento sólido">
          <a:extLst>
            <a:ext uri="{FF2B5EF4-FFF2-40B4-BE49-F238E27FC236}">
              <a16:creationId xmlns:a16="http://schemas.microsoft.com/office/drawing/2014/main" xmlns="" id="{00000000-0008-0000-00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958" y="3806473"/>
          <a:ext cx="175178" cy="177434"/>
        </a:xfrm>
        <a:prstGeom prst="rect">
          <a:avLst/>
        </a:prstGeom>
      </xdr:spPr>
    </xdr:pic>
    <xdr:clientData/>
  </xdr:oneCellAnchor>
  <xdr:oneCellAnchor>
    <xdr:from>
      <xdr:col>36</xdr:col>
      <xdr:colOff>408615</xdr:colOff>
      <xdr:row>17</xdr:row>
      <xdr:rowOff>5274</xdr:rowOff>
    </xdr:from>
    <xdr:ext cx="175178" cy="177434"/>
    <xdr:pic macro="[0]!HoraInicio9">
      <xdr:nvPicPr>
        <xdr:cNvPr id="503" name="Gráfico 502" descr="Relógio com preenchimento sólido">
          <a:extLst>
            <a:ext uri="{FF2B5EF4-FFF2-40B4-BE49-F238E27FC236}">
              <a16:creationId xmlns:a16="http://schemas.microsoft.com/office/drawing/2014/main" xmlns="" id="{00000000-0008-0000-00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596" y="3998447"/>
          <a:ext cx="175178" cy="177434"/>
        </a:xfrm>
        <a:prstGeom prst="rect">
          <a:avLst/>
        </a:prstGeom>
      </xdr:spPr>
    </xdr:pic>
    <xdr:clientData/>
  </xdr:oneCellAnchor>
  <xdr:oneCellAnchor>
    <xdr:from>
      <xdr:col>36</xdr:col>
      <xdr:colOff>408253</xdr:colOff>
      <xdr:row>18</xdr:row>
      <xdr:rowOff>4915</xdr:rowOff>
    </xdr:from>
    <xdr:ext cx="175178" cy="177434"/>
    <xdr:pic macro="[0]!HoraInicio10">
      <xdr:nvPicPr>
        <xdr:cNvPr id="504" name="Gráfico 503" descr="Relógio com preenchimento sólido">
          <a:extLst>
            <a:ext uri="{FF2B5EF4-FFF2-40B4-BE49-F238E27FC236}">
              <a16:creationId xmlns:a16="http://schemas.microsoft.com/office/drawing/2014/main" xmlns="" id="{00000000-0008-0000-00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21234" y="4190420"/>
          <a:ext cx="175178" cy="177434"/>
        </a:xfrm>
        <a:prstGeom prst="rect">
          <a:avLst/>
        </a:prstGeom>
      </xdr:spPr>
    </xdr:pic>
    <xdr:clientData/>
  </xdr:oneCellAnchor>
  <xdr:oneCellAnchor>
    <xdr:from>
      <xdr:col>41</xdr:col>
      <xdr:colOff>400350</xdr:colOff>
      <xdr:row>9</xdr:row>
      <xdr:rowOff>14977</xdr:rowOff>
    </xdr:from>
    <xdr:ext cx="174385" cy="181063"/>
    <xdr:pic macro="[0]!HoraFinal1">
      <xdr:nvPicPr>
        <xdr:cNvPr id="505" name="Gráfico 504" descr="Relógio com preenchimento sólido">
          <a:extLst>
            <a:ext uri="{FF2B5EF4-FFF2-40B4-BE49-F238E27FC236}">
              <a16:creationId xmlns:a16="http://schemas.microsoft.com/office/drawing/2014/main" xmlns="" id="{00000000-0008-0000-00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4100" y="2469496"/>
          <a:ext cx="174385" cy="181063"/>
        </a:xfrm>
        <a:prstGeom prst="rect">
          <a:avLst/>
        </a:prstGeom>
      </xdr:spPr>
    </xdr:pic>
    <xdr:clientData/>
  </xdr:oneCellAnchor>
  <xdr:oneCellAnchor>
    <xdr:from>
      <xdr:col>41</xdr:col>
      <xdr:colOff>399988</xdr:colOff>
      <xdr:row>10</xdr:row>
      <xdr:rowOff>14618</xdr:rowOff>
    </xdr:from>
    <xdr:ext cx="174385" cy="181064"/>
    <xdr:pic macro="[0]!HoraFinal2">
      <xdr:nvPicPr>
        <xdr:cNvPr id="506" name="Gráfico 505" descr="Relógio com preenchimento sólido">
          <a:extLst>
            <a:ext uri="{FF2B5EF4-FFF2-40B4-BE49-F238E27FC236}">
              <a16:creationId xmlns:a16="http://schemas.microsoft.com/office/drawing/2014/main" xmlns="" id="{00000000-0008-0000-00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738" y="2661469"/>
          <a:ext cx="174385" cy="181064"/>
        </a:xfrm>
        <a:prstGeom prst="rect">
          <a:avLst/>
        </a:prstGeom>
      </xdr:spPr>
    </xdr:pic>
    <xdr:clientData/>
  </xdr:oneCellAnchor>
  <xdr:oneCellAnchor>
    <xdr:from>
      <xdr:col>41</xdr:col>
      <xdr:colOff>399626</xdr:colOff>
      <xdr:row>11</xdr:row>
      <xdr:rowOff>14260</xdr:rowOff>
    </xdr:from>
    <xdr:ext cx="174385" cy="181063"/>
    <xdr:pic macro="[0]!HoraFinal3">
      <xdr:nvPicPr>
        <xdr:cNvPr id="507" name="Gráfico 506" descr="Relógio com preenchimento sólido">
          <a:extLst>
            <a:ext uri="{FF2B5EF4-FFF2-40B4-BE49-F238E27FC236}">
              <a16:creationId xmlns:a16="http://schemas.microsoft.com/office/drawing/2014/main" xmlns="" id="{00000000-0008-0000-00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376" y="2853443"/>
          <a:ext cx="174385" cy="181063"/>
        </a:xfrm>
        <a:prstGeom prst="rect">
          <a:avLst/>
        </a:prstGeom>
      </xdr:spPr>
    </xdr:pic>
    <xdr:clientData/>
  </xdr:oneCellAnchor>
  <xdr:oneCellAnchor>
    <xdr:from>
      <xdr:col>41</xdr:col>
      <xdr:colOff>399991</xdr:colOff>
      <xdr:row>12</xdr:row>
      <xdr:rowOff>5633</xdr:rowOff>
    </xdr:from>
    <xdr:ext cx="174385" cy="177434"/>
    <xdr:pic macro="[0]!HoraFinal4">
      <xdr:nvPicPr>
        <xdr:cNvPr id="508" name="Gráfico 507" descr="Relógio com preenchimento sólido">
          <a:extLst>
            <a:ext uri="{FF2B5EF4-FFF2-40B4-BE49-F238E27FC236}">
              <a16:creationId xmlns:a16="http://schemas.microsoft.com/office/drawing/2014/main" xmlns="" id="{00000000-0008-0000-00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741" y="3037147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399629</xdr:colOff>
      <xdr:row>13</xdr:row>
      <xdr:rowOff>5274</xdr:rowOff>
    </xdr:from>
    <xdr:ext cx="174385" cy="177434"/>
    <xdr:pic macro="[0]!HoraFinal5">
      <xdr:nvPicPr>
        <xdr:cNvPr id="509" name="Gráfico 508" descr="Relógio com preenchimento sólido">
          <a:extLst>
            <a:ext uri="{FF2B5EF4-FFF2-40B4-BE49-F238E27FC236}">
              <a16:creationId xmlns:a16="http://schemas.microsoft.com/office/drawing/2014/main" xmlns="" id="{00000000-0008-0000-00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379" y="3229120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14</xdr:row>
      <xdr:rowOff>4915</xdr:rowOff>
    </xdr:from>
    <xdr:ext cx="174385" cy="177434"/>
    <xdr:pic macro="[0]!HoraFinal6">
      <xdr:nvPicPr>
        <xdr:cNvPr id="510" name="Gráfico 509" descr="Relógio com preenchimento sólido">
          <a:extLst>
            <a:ext uri="{FF2B5EF4-FFF2-40B4-BE49-F238E27FC236}">
              <a16:creationId xmlns:a16="http://schemas.microsoft.com/office/drawing/2014/main" xmlns="" id="{00000000-0008-0000-00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017" y="3421093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15</xdr:row>
      <xdr:rowOff>13900</xdr:rowOff>
    </xdr:from>
    <xdr:ext cx="174385" cy="181062"/>
    <xdr:pic macro="[0]!HoraFinal7">
      <xdr:nvPicPr>
        <xdr:cNvPr id="511" name="Gráfico 510" descr="Relógio com preenchimento sólido">
          <a:extLst>
            <a:ext uri="{FF2B5EF4-FFF2-40B4-BE49-F238E27FC236}">
              <a16:creationId xmlns:a16="http://schemas.microsoft.com/office/drawing/2014/main" xmlns="" id="{00000000-0008-0000-00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017" y="3622410"/>
          <a:ext cx="174385" cy="181062"/>
        </a:xfrm>
        <a:prstGeom prst="rect">
          <a:avLst/>
        </a:prstGeom>
      </xdr:spPr>
    </xdr:pic>
    <xdr:clientData/>
  </xdr:oneCellAnchor>
  <xdr:oneCellAnchor>
    <xdr:from>
      <xdr:col>41</xdr:col>
      <xdr:colOff>399632</xdr:colOff>
      <xdr:row>16</xdr:row>
      <xdr:rowOff>5273</xdr:rowOff>
    </xdr:from>
    <xdr:ext cx="174385" cy="177434"/>
    <xdr:pic macro="[0]!HoraFinal8">
      <xdr:nvPicPr>
        <xdr:cNvPr id="512" name="Gráfico 511" descr="Relógio com preenchimento sólido">
          <a:extLst>
            <a:ext uri="{FF2B5EF4-FFF2-40B4-BE49-F238E27FC236}">
              <a16:creationId xmlns:a16="http://schemas.microsoft.com/office/drawing/2014/main" xmlns="" id="{00000000-0008-0000-00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382" y="380611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399270</xdr:colOff>
      <xdr:row>17</xdr:row>
      <xdr:rowOff>4915</xdr:rowOff>
    </xdr:from>
    <xdr:ext cx="174385" cy="177434"/>
    <xdr:pic macro="[0]!HoraFinal9">
      <xdr:nvPicPr>
        <xdr:cNvPr id="513" name="Gráfico 512" descr="Relógio com preenchimento sólido">
          <a:extLst>
            <a:ext uri="{FF2B5EF4-FFF2-40B4-BE49-F238E27FC236}">
              <a16:creationId xmlns:a16="http://schemas.microsoft.com/office/drawing/2014/main" xmlns="" id="{00000000-0008-0000-00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3020" y="3998088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398908</xdr:colOff>
      <xdr:row>18</xdr:row>
      <xdr:rowOff>4556</xdr:rowOff>
    </xdr:from>
    <xdr:ext cx="174385" cy="177434"/>
    <xdr:pic macro="[0]!HoraFinal10">
      <xdr:nvPicPr>
        <xdr:cNvPr id="514" name="Gráfico 513" descr="Relógio com preenchimento sólido">
          <a:extLst>
            <a:ext uri="{FF2B5EF4-FFF2-40B4-BE49-F238E27FC236}">
              <a16:creationId xmlns:a16="http://schemas.microsoft.com/office/drawing/2014/main" xmlns="" id="{00000000-0008-0000-00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42658" y="4190061"/>
          <a:ext cx="174385" cy="177434"/>
        </a:xfrm>
        <a:prstGeom prst="rect">
          <a:avLst/>
        </a:prstGeom>
      </xdr:spPr>
    </xdr:pic>
    <xdr:clientData/>
  </xdr:oneCellAnchor>
  <xdr:twoCellAnchor editAs="absolute">
    <xdr:from>
      <xdr:col>2</xdr:col>
      <xdr:colOff>158751</xdr:colOff>
      <xdr:row>6</xdr:row>
      <xdr:rowOff>37352</xdr:rowOff>
    </xdr:from>
    <xdr:to>
      <xdr:col>2</xdr:col>
      <xdr:colOff>672353</xdr:colOff>
      <xdr:row>8</xdr:row>
      <xdr:rowOff>129985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GrpSpPr/>
      </xdr:nvGrpSpPr>
      <xdr:grpSpPr>
        <a:xfrm>
          <a:off x="1163682" y="1898659"/>
          <a:ext cx="513602" cy="485867"/>
          <a:chOff x="1270001" y="1876985"/>
          <a:chExt cx="681690" cy="475500"/>
        </a:xfrm>
      </xdr:grpSpPr>
      <xdr:sp macro="[0]!Procurar_Nome" textlink="">
        <xdr:nvSpPr>
          <xdr:cNvPr id="5" name="Elipse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SpPr/>
        </xdr:nvSpPr>
        <xdr:spPr>
          <a:xfrm>
            <a:off x="1270001" y="1914338"/>
            <a:ext cx="681690" cy="420221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Procurar_Nome">
        <xdr:nvPicPr>
          <xdr:cNvPr id="18" name="Gráfico 17" descr="Óculos 3D com preenchimento sólido">
            <a:extLst>
              <a:ext uri="{FF2B5EF4-FFF2-40B4-BE49-F238E27FC236}">
                <a16:creationId xmlns:a16="http://schemas.microsoft.com/office/drawing/2014/main" xmlns="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5"/>
              </a:ext>
            </a:extLst>
          </a:blip>
          <a:stretch>
            <a:fillRect/>
          </a:stretch>
        </xdr:blipFill>
        <xdr:spPr>
          <a:xfrm>
            <a:off x="1381719" y="1876985"/>
            <a:ext cx="475499" cy="4755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9</xdr:row>
          <xdr:rowOff>0</xdr:rowOff>
        </xdr:from>
        <xdr:to>
          <xdr:col>43</xdr:col>
          <xdr:colOff>542925</xdr:colOff>
          <xdr:row>10</xdr:row>
          <xdr:rowOff>9525</xdr:rowOff>
        </xdr:to>
        <xdr:sp macro="" textlink="">
          <xdr:nvSpPr>
            <xdr:cNvPr id="3223" name="Drop Dow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xmlns="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10</xdr:row>
          <xdr:rowOff>0</xdr:rowOff>
        </xdr:from>
        <xdr:to>
          <xdr:col>43</xdr:col>
          <xdr:colOff>542925</xdr:colOff>
          <xdr:row>11</xdr:row>
          <xdr:rowOff>9525</xdr:rowOff>
        </xdr:to>
        <xdr:sp macro="" textlink="">
          <xdr:nvSpPr>
            <xdr:cNvPr id="3224" name="Drop Dow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xmlns="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11</xdr:row>
          <xdr:rowOff>0</xdr:rowOff>
        </xdr:from>
        <xdr:to>
          <xdr:col>43</xdr:col>
          <xdr:colOff>542925</xdr:colOff>
          <xdr:row>12</xdr:row>
          <xdr:rowOff>9525</xdr:rowOff>
        </xdr:to>
        <xdr:sp macro="" textlink="">
          <xdr:nvSpPr>
            <xdr:cNvPr id="3225" name="Drop Dow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xmlns="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12</xdr:row>
          <xdr:rowOff>0</xdr:rowOff>
        </xdr:from>
        <xdr:to>
          <xdr:col>43</xdr:col>
          <xdr:colOff>542925</xdr:colOff>
          <xdr:row>13</xdr:row>
          <xdr:rowOff>9525</xdr:rowOff>
        </xdr:to>
        <xdr:sp macro="" textlink="">
          <xdr:nvSpPr>
            <xdr:cNvPr id="3226" name="Drop Dow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xmlns="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13</xdr:row>
          <xdr:rowOff>0</xdr:rowOff>
        </xdr:from>
        <xdr:to>
          <xdr:col>43</xdr:col>
          <xdr:colOff>542925</xdr:colOff>
          <xdr:row>14</xdr:row>
          <xdr:rowOff>9525</xdr:rowOff>
        </xdr:to>
        <xdr:sp macro="" textlink="">
          <xdr:nvSpPr>
            <xdr:cNvPr id="3227" name="Drop Dow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xmlns="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14</xdr:row>
          <xdr:rowOff>0</xdr:rowOff>
        </xdr:from>
        <xdr:to>
          <xdr:col>43</xdr:col>
          <xdr:colOff>542925</xdr:colOff>
          <xdr:row>15</xdr:row>
          <xdr:rowOff>9525</xdr:rowOff>
        </xdr:to>
        <xdr:sp macro="" textlink="">
          <xdr:nvSpPr>
            <xdr:cNvPr id="3228" name="Drop Dow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xmlns="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15</xdr:row>
          <xdr:rowOff>0</xdr:rowOff>
        </xdr:from>
        <xdr:to>
          <xdr:col>43</xdr:col>
          <xdr:colOff>542925</xdr:colOff>
          <xdr:row>16</xdr:row>
          <xdr:rowOff>9525</xdr:rowOff>
        </xdr:to>
        <xdr:sp macro="" textlink="">
          <xdr:nvSpPr>
            <xdr:cNvPr id="3229" name="Drop Dow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xmlns="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16</xdr:row>
          <xdr:rowOff>190500</xdr:rowOff>
        </xdr:from>
        <xdr:to>
          <xdr:col>43</xdr:col>
          <xdr:colOff>542925</xdr:colOff>
          <xdr:row>17</xdr:row>
          <xdr:rowOff>9525</xdr:rowOff>
        </xdr:to>
        <xdr:sp macro="" textlink="">
          <xdr:nvSpPr>
            <xdr:cNvPr id="3230" name="Drop Dow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xmlns="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17</xdr:row>
          <xdr:rowOff>0</xdr:rowOff>
        </xdr:from>
        <xdr:to>
          <xdr:col>43</xdr:col>
          <xdr:colOff>542925</xdr:colOff>
          <xdr:row>18</xdr:row>
          <xdr:rowOff>9525</xdr:rowOff>
        </xdr:to>
        <xdr:sp macro="" textlink="">
          <xdr:nvSpPr>
            <xdr:cNvPr id="3231" name="Drop Dow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xmlns="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18</xdr:row>
          <xdr:rowOff>0</xdr:rowOff>
        </xdr:from>
        <xdr:to>
          <xdr:col>43</xdr:col>
          <xdr:colOff>542925</xdr:colOff>
          <xdr:row>19</xdr:row>
          <xdr:rowOff>9525</xdr:rowOff>
        </xdr:to>
        <xdr:sp macro="" textlink="">
          <xdr:nvSpPr>
            <xdr:cNvPr id="3232" name="Drop Dow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xmlns="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34</xdr:col>
      <xdr:colOff>16479</xdr:colOff>
      <xdr:row>9</xdr:row>
      <xdr:rowOff>5357</xdr:rowOff>
    </xdr:from>
    <xdr:ext cx="185173" cy="180000"/>
    <xdr:pic macro="[0]!DataInicio1">
      <xdr:nvPicPr>
        <xdr:cNvPr id="527" name="Gráfico 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0722" y="2460885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19538</xdr:colOff>
      <xdr:row>10</xdr:row>
      <xdr:rowOff>8371</xdr:rowOff>
    </xdr:from>
    <xdr:ext cx="180525" cy="184254"/>
    <xdr:pic macro="[0]!DataInicio2">
      <xdr:nvPicPr>
        <xdr:cNvPr id="528" name="Gráfico 3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3781" y="2656146"/>
          <a:ext cx="180525" cy="184254"/>
        </a:xfrm>
        <a:prstGeom prst="rect">
          <a:avLst/>
        </a:prstGeom>
      </xdr:spPr>
    </xdr:pic>
    <xdr:clientData/>
  </xdr:oneCellAnchor>
  <xdr:oneCellAnchor>
    <xdr:from>
      <xdr:col>34</xdr:col>
      <xdr:colOff>15149</xdr:colOff>
      <xdr:row>11</xdr:row>
      <xdr:rowOff>3212</xdr:rowOff>
    </xdr:from>
    <xdr:ext cx="185173" cy="180000"/>
    <xdr:pic macro="[0]!DataInicio3">
      <xdr:nvPicPr>
        <xdr:cNvPr id="529" name="Gráfico 3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49392" y="2843235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12</xdr:row>
      <xdr:rowOff>6226</xdr:rowOff>
    </xdr:from>
    <xdr:ext cx="180525" cy="186126"/>
    <xdr:pic macro="[0]!DataInicio4">
      <xdr:nvPicPr>
        <xdr:cNvPr id="530" name="Gráfico 3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2451" y="3038497"/>
          <a:ext cx="180525" cy="186126"/>
        </a:xfrm>
        <a:prstGeom prst="rect">
          <a:avLst/>
        </a:prstGeom>
      </xdr:spPr>
    </xdr:pic>
    <xdr:clientData/>
  </xdr:oneCellAnchor>
  <xdr:oneCellAnchor>
    <xdr:from>
      <xdr:col>34</xdr:col>
      <xdr:colOff>18208</xdr:colOff>
      <xdr:row>13</xdr:row>
      <xdr:rowOff>3213</xdr:rowOff>
    </xdr:from>
    <xdr:ext cx="185173" cy="180000"/>
    <xdr:pic macro="[0]!DataInicio5">
      <xdr:nvPicPr>
        <xdr:cNvPr id="531" name="Gráfico 4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2451" y="3227731"/>
          <a:ext cx="185173" cy="180000"/>
        </a:xfrm>
        <a:prstGeom prst="rect">
          <a:avLst/>
        </a:prstGeom>
      </xdr:spPr>
    </xdr:pic>
    <xdr:clientData/>
  </xdr:oneCellAnchor>
  <xdr:oneCellAnchor>
    <xdr:from>
      <xdr:col>34</xdr:col>
      <xdr:colOff>12763</xdr:colOff>
      <xdr:row>14</xdr:row>
      <xdr:rowOff>6227</xdr:rowOff>
    </xdr:from>
    <xdr:ext cx="180525" cy="186127"/>
    <xdr:pic macro="[0]!DataInicio6">
      <xdr:nvPicPr>
        <xdr:cNvPr id="532" name="Gráfico 4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47006" y="3422993"/>
          <a:ext cx="180525" cy="186127"/>
        </a:xfrm>
        <a:prstGeom prst="rect">
          <a:avLst/>
        </a:prstGeom>
      </xdr:spPr>
    </xdr:pic>
    <xdr:clientData/>
  </xdr:oneCellAnchor>
  <xdr:oneCellAnchor>
    <xdr:from>
      <xdr:col>34</xdr:col>
      <xdr:colOff>19937</xdr:colOff>
      <xdr:row>16</xdr:row>
      <xdr:rowOff>4082</xdr:rowOff>
    </xdr:from>
    <xdr:ext cx="180525" cy="180000"/>
    <xdr:pic macro="[0]!DataInicio8">
      <xdr:nvPicPr>
        <xdr:cNvPr id="533" name="Gráfico 4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4180" y="3805343"/>
          <a:ext cx="180525" cy="180000"/>
        </a:xfrm>
        <a:prstGeom prst="rect">
          <a:avLst/>
        </a:prstGeom>
      </xdr:spPr>
    </xdr:pic>
    <xdr:clientData/>
  </xdr:oneCellAnchor>
  <xdr:oneCellAnchor>
    <xdr:from>
      <xdr:col>34</xdr:col>
      <xdr:colOff>20590</xdr:colOff>
      <xdr:row>14</xdr:row>
      <xdr:rowOff>184139</xdr:rowOff>
    </xdr:from>
    <xdr:ext cx="180525" cy="185150"/>
    <xdr:pic macro="[0]!DataInicio7">
      <xdr:nvPicPr>
        <xdr:cNvPr id="534" name="Gráfico 4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4833" y="3600905"/>
          <a:ext cx="180525" cy="185150"/>
        </a:xfrm>
        <a:prstGeom prst="rect">
          <a:avLst/>
        </a:prstGeom>
      </xdr:spPr>
    </xdr:pic>
    <xdr:clientData/>
  </xdr:oneCellAnchor>
  <xdr:oneCellAnchor>
    <xdr:from>
      <xdr:col>34</xdr:col>
      <xdr:colOff>19164</xdr:colOff>
      <xdr:row>18</xdr:row>
      <xdr:rowOff>10111</xdr:rowOff>
    </xdr:from>
    <xdr:ext cx="180525" cy="183545"/>
    <xdr:pic macro="[0]!DataInicio10">
      <xdr:nvPicPr>
        <xdr:cNvPr id="535" name="Gráfico 4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3407" y="4195868"/>
          <a:ext cx="180525" cy="183545"/>
        </a:xfrm>
        <a:prstGeom prst="rect">
          <a:avLst/>
        </a:prstGeom>
      </xdr:spPr>
    </xdr:pic>
    <xdr:clientData/>
  </xdr:oneCellAnchor>
  <xdr:oneCellAnchor>
    <xdr:from>
      <xdr:col>34</xdr:col>
      <xdr:colOff>19817</xdr:colOff>
      <xdr:row>16</xdr:row>
      <xdr:rowOff>190168</xdr:rowOff>
    </xdr:from>
    <xdr:ext cx="180525" cy="185150"/>
    <xdr:pic macro="[0]!DataInicio9">
      <xdr:nvPicPr>
        <xdr:cNvPr id="536" name="Gráfico 4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3454060" y="3991429"/>
          <a:ext cx="180525" cy="185150"/>
        </a:xfrm>
        <a:prstGeom prst="rect">
          <a:avLst/>
        </a:prstGeom>
      </xdr:spPr>
    </xdr:pic>
    <xdr:clientData/>
  </xdr:oneCellAnchor>
  <xdr:oneCellAnchor>
    <xdr:from>
      <xdr:col>39</xdr:col>
      <xdr:colOff>20035</xdr:colOff>
      <xdr:row>9</xdr:row>
      <xdr:rowOff>274</xdr:rowOff>
    </xdr:from>
    <xdr:ext cx="185173" cy="180000"/>
    <xdr:pic macro="[0]!DataFinal1">
      <xdr:nvPicPr>
        <xdr:cNvPr id="537" name="Gráfico 46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1686" y="2455802"/>
          <a:ext cx="185173" cy="180000"/>
        </a:xfrm>
        <a:prstGeom prst="rect">
          <a:avLst/>
        </a:prstGeom>
      </xdr:spPr>
    </xdr:pic>
    <xdr:clientData/>
  </xdr:oneCellAnchor>
  <xdr:oneCellAnchor>
    <xdr:from>
      <xdr:col>39</xdr:col>
      <xdr:colOff>23094</xdr:colOff>
      <xdr:row>10</xdr:row>
      <xdr:rowOff>3288</xdr:rowOff>
    </xdr:from>
    <xdr:ext cx="180525" cy="180000"/>
    <xdr:pic macro="[0]!DataFinal2">
      <xdr:nvPicPr>
        <xdr:cNvPr id="538" name="Gráfico 47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4745" y="2651063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18705</xdr:colOff>
      <xdr:row>10</xdr:row>
      <xdr:rowOff>188629</xdr:rowOff>
    </xdr:from>
    <xdr:ext cx="185173" cy="181748"/>
    <xdr:pic macro="[0]!DataFinal3">
      <xdr:nvPicPr>
        <xdr:cNvPr id="539" name="Gráfico 48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0356" y="2836404"/>
          <a:ext cx="185173" cy="181748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1143</xdr:rowOff>
    </xdr:from>
    <xdr:ext cx="180525" cy="180000"/>
    <xdr:pic macro="[0]!DataFinal4">
      <xdr:nvPicPr>
        <xdr:cNvPr id="540" name="Gráfico 49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3415" y="3033414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21764</xdr:colOff>
      <xdr:row>12</xdr:row>
      <xdr:rowOff>188630</xdr:rowOff>
    </xdr:from>
    <xdr:ext cx="185173" cy="181746"/>
    <xdr:pic macro="[0]!DataFinal5">
      <xdr:nvPicPr>
        <xdr:cNvPr id="541" name="Gráfico 50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3415" y="3220901"/>
          <a:ext cx="185173" cy="181746"/>
        </a:xfrm>
        <a:prstGeom prst="rect">
          <a:avLst/>
        </a:prstGeom>
      </xdr:spPr>
    </xdr:pic>
    <xdr:clientData/>
  </xdr:oneCellAnchor>
  <xdr:oneCellAnchor>
    <xdr:from>
      <xdr:col>39</xdr:col>
      <xdr:colOff>16319</xdr:colOff>
      <xdr:row>14</xdr:row>
      <xdr:rowOff>1144</xdr:rowOff>
    </xdr:from>
    <xdr:ext cx="180525" cy="180000"/>
    <xdr:pic macro="[0]!DataFinal6">
      <xdr:nvPicPr>
        <xdr:cNvPr id="542" name="Gráfico 51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77970" y="3417910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23493</xdr:colOff>
      <xdr:row>15</xdr:row>
      <xdr:rowOff>189499</xdr:rowOff>
    </xdr:from>
    <xdr:ext cx="180525" cy="181747"/>
    <xdr:pic macro="[0]!DataFinal8">
      <xdr:nvPicPr>
        <xdr:cNvPr id="543" name="Gráfico 52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5144" y="3798513"/>
          <a:ext cx="180525" cy="181747"/>
        </a:xfrm>
        <a:prstGeom prst="rect">
          <a:avLst/>
        </a:prstGeom>
      </xdr:spPr>
    </xdr:pic>
    <xdr:clientData/>
  </xdr:oneCellAnchor>
  <xdr:oneCellAnchor>
    <xdr:from>
      <xdr:col>39</xdr:col>
      <xdr:colOff>24146</xdr:colOff>
      <xdr:row>14</xdr:row>
      <xdr:rowOff>179056</xdr:rowOff>
    </xdr:from>
    <xdr:ext cx="180525" cy="185150"/>
    <xdr:pic macro="[0]!DataFinal7">
      <xdr:nvPicPr>
        <xdr:cNvPr id="544" name="Gráfico 53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5797" y="3595822"/>
          <a:ext cx="180525" cy="185150"/>
        </a:xfrm>
        <a:prstGeom prst="rect">
          <a:avLst/>
        </a:prstGeom>
      </xdr:spPr>
    </xdr:pic>
    <xdr:clientData/>
  </xdr:oneCellAnchor>
  <xdr:oneCellAnchor>
    <xdr:from>
      <xdr:col>39</xdr:col>
      <xdr:colOff>22720</xdr:colOff>
      <xdr:row>18</xdr:row>
      <xdr:rowOff>5028</xdr:rowOff>
    </xdr:from>
    <xdr:ext cx="180525" cy="180000"/>
    <xdr:pic macro="[0]!DataFinal10">
      <xdr:nvPicPr>
        <xdr:cNvPr id="545" name="Gráfico 54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4371" y="4190785"/>
          <a:ext cx="180525" cy="180000"/>
        </a:xfrm>
        <a:prstGeom prst="rect">
          <a:avLst/>
        </a:prstGeom>
      </xdr:spPr>
    </xdr:pic>
    <xdr:clientData/>
  </xdr:oneCellAnchor>
  <xdr:oneCellAnchor>
    <xdr:from>
      <xdr:col>39</xdr:col>
      <xdr:colOff>23373</xdr:colOff>
      <xdr:row>16</xdr:row>
      <xdr:rowOff>185085</xdr:rowOff>
    </xdr:from>
    <xdr:ext cx="180525" cy="185150"/>
    <xdr:pic macro="[0]!DataFinal9">
      <xdr:nvPicPr>
        <xdr:cNvPr id="546" name="Gráfico 55" descr="Calendário diário com preenchimento sólido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9"/>
            </a:ext>
          </a:extLst>
        </a:blip>
        <a:stretch>
          <a:fillRect/>
        </a:stretch>
      </xdr:blipFill>
      <xdr:spPr>
        <a:xfrm>
          <a:off x="6385024" y="3986346"/>
          <a:ext cx="180525" cy="185150"/>
        </a:xfrm>
        <a:prstGeom prst="rect">
          <a:avLst/>
        </a:prstGeom>
      </xdr:spPr>
    </xdr:pic>
    <xdr:clientData/>
  </xdr:oneCellAnchor>
  <xdr:oneCellAnchor>
    <xdr:from>
      <xdr:col>36</xdr:col>
      <xdr:colOff>409695</xdr:colOff>
      <xdr:row>9</xdr:row>
      <xdr:rowOff>15336</xdr:rowOff>
    </xdr:from>
    <xdr:ext cx="174136" cy="180978"/>
    <xdr:pic macro="[0]!HoraInicio1">
      <xdr:nvPicPr>
        <xdr:cNvPr id="547" name="Gráfico 15" descr="Relógio com preenchimento sólid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9145" y="2470864"/>
          <a:ext cx="174136" cy="180978"/>
        </a:xfrm>
        <a:prstGeom prst="rect">
          <a:avLst/>
        </a:prstGeom>
      </xdr:spPr>
    </xdr:pic>
    <xdr:clientData/>
  </xdr:oneCellAnchor>
  <xdr:oneCellAnchor>
    <xdr:from>
      <xdr:col>36</xdr:col>
      <xdr:colOff>409333</xdr:colOff>
      <xdr:row>10</xdr:row>
      <xdr:rowOff>14977</xdr:rowOff>
    </xdr:from>
    <xdr:ext cx="174926" cy="180980"/>
    <xdr:pic macro="[0]!HoraInicio2">
      <xdr:nvPicPr>
        <xdr:cNvPr id="548" name="Gráfico 192" descr="Relógio com preenchimento sólido">
          <a:extLst>
            <a:ext uri="{FF2B5EF4-FFF2-40B4-BE49-F238E27FC236}">
              <a16:creationId xmlns:a16="http://schemas.microsoft.com/office/drawing/2014/main" xmlns="" id="{00000000-0008-0000-00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783" y="2662752"/>
          <a:ext cx="174926" cy="180980"/>
        </a:xfrm>
        <a:prstGeom prst="rect">
          <a:avLst/>
        </a:prstGeom>
      </xdr:spPr>
    </xdr:pic>
    <xdr:clientData/>
  </xdr:oneCellAnchor>
  <xdr:oneCellAnchor>
    <xdr:from>
      <xdr:col>36</xdr:col>
      <xdr:colOff>408971</xdr:colOff>
      <xdr:row>11</xdr:row>
      <xdr:rowOff>14619</xdr:rowOff>
    </xdr:from>
    <xdr:ext cx="174926" cy="180980"/>
    <xdr:pic macro="[0]!HoraInicio3">
      <xdr:nvPicPr>
        <xdr:cNvPr id="549" name="Gráfico 193" descr="Relógio com preenchimento sólido">
          <a:extLst>
            <a:ext uri="{FF2B5EF4-FFF2-40B4-BE49-F238E27FC236}">
              <a16:creationId xmlns:a16="http://schemas.microsoft.com/office/drawing/2014/main" xmlns="" id="{00000000-0008-0000-00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421" y="2854642"/>
          <a:ext cx="174926" cy="180980"/>
        </a:xfrm>
        <a:prstGeom prst="rect">
          <a:avLst/>
        </a:prstGeom>
      </xdr:spPr>
    </xdr:pic>
    <xdr:clientData/>
  </xdr:oneCellAnchor>
  <xdr:oneCellAnchor>
    <xdr:from>
      <xdr:col>36</xdr:col>
      <xdr:colOff>409336</xdr:colOff>
      <xdr:row>12</xdr:row>
      <xdr:rowOff>5992</xdr:rowOff>
    </xdr:from>
    <xdr:ext cx="174926" cy="177434"/>
    <xdr:pic macro="[0]!HoraInicio4">
      <xdr:nvPicPr>
        <xdr:cNvPr id="550" name="Gráfico 194" descr="Relógio com preenchimento sólido">
          <a:extLst>
            <a:ext uri="{FF2B5EF4-FFF2-40B4-BE49-F238E27FC236}">
              <a16:creationId xmlns:a16="http://schemas.microsoft.com/office/drawing/2014/main" xmlns="" id="{00000000-0008-0000-00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786" y="3038263"/>
          <a:ext cx="174926" cy="177434"/>
        </a:xfrm>
        <a:prstGeom prst="rect">
          <a:avLst/>
        </a:prstGeom>
      </xdr:spPr>
    </xdr:pic>
    <xdr:clientData/>
  </xdr:oneCellAnchor>
  <xdr:oneCellAnchor>
    <xdr:from>
      <xdr:col>36</xdr:col>
      <xdr:colOff>408974</xdr:colOff>
      <xdr:row>13</xdr:row>
      <xdr:rowOff>5633</xdr:rowOff>
    </xdr:from>
    <xdr:ext cx="174926" cy="177434"/>
    <xdr:pic macro="[0]!HoraInicio5">
      <xdr:nvPicPr>
        <xdr:cNvPr id="551" name="Gráfico 195" descr="Relógio com preenchimento sólido">
          <a:extLst>
            <a:ext uri="{FF2B5EF4-FFF2-40B4-BE49-F238E27FC236}">
              <a16:creationId xmlns:a16="http://schemas.microsoft.com/office/drawing/2014/main" xmlns="" id="{00000000-0008-0000-00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424" y="3230151"/>
          <a:ext cx="174926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14</xdr:row>
      <xdr:rowOff>5274</xdr:rowOff>
    </xdr:from>
    <xdr:ext cx="174926" cy="177434"/>
    <xdr:pic macro="[0]!HoraInicio6">
      <xdr:nvPicPr>
        <xdr:cNvPr id="552" name="Gráfico 196" descr="Relógio com preenchimento sólido">
          <a:extLst>
            <a:ext uri="{FF2B5EF4-FFF2-40B4-BE49-F238E27FC236}">
              <a16:creationId xmlns:a16="http://schemas.microsoft.com/office/drawing/2014/main" xmlns="" id="{00000000-0008-0000-00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062" y="3422040"/>
          <a:ext cx="174926" cy="177434"/>
        </a:xfrm>
        <a:prstGeom prst="rect">
          <a:avLst/>
        </a:prstGeom>
      </xdr:spPr>
    </xdr:pic>
    <xdr:clientData/>
  </xdr:oneCellAnchor>
  <xdr:oneCellAnchor>
    <xdr:from>
      <xdr:col>36</xdr:col>
      <xdr:colOff>408612</xdr:colOff>
      <xdr:row>15</xdr:row>
      <xdr:rowOff>14259</xdr:rowOff>
    </xdr:from>
    <xdr:ext cx="174926" cy="180978"/>
    <xdr:pic macro="[0]!HoraInicio7">
      <xdr:nvPicPr>
        <xdr:cNvPr id="553" name="Gráfico 197" descr="Relógio com preenchimento sólido">
          <a:extLst>
            <a:ext uri="{FF2B5EF4-FFF2-40B4-BE49-F238E27FC236}">
              <a16:creationId xmlns:a16="http://schemas.microsoft.com/office/drawing/2014/main" xmlns="" id="{00000000-0008-0000-00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062" y="3623273"/>
          <a:ext cx="174926" cy="180978"/>
        </a:xfrm>
        <a:prstGeom prst="rect">
          <a:avLst/>
        </a:prstGeom>
      </xdr:spPr>
    </xdr:pic>
    <xdr:clientData/>
  </xdr:oneCellAnchor>
  <xdr:oneCellAnchor>
    <xdr:from>
      <xdr:col>36</xdr:col>
      <xdr:colOff>408977</xdr:colOff>
      <xdr:row>16</xdr:row>
      <xdr:rowOff>5632</xdr:rowOff>
    </xdr:from>
    <xdr:ext cx="174926" cy="177434"/>
    <xdr:pic macro="[0]!HoraInicio8">
      <xdr:nvPicPr>
        <xdr:cNvPr id="554" name="Gráfico 198" descr="Relógio com preenchimento sólido">
          <a:extLst>
            <a:ext uri="{FF2B5EF4-FFF2-40B4-BE49-F238E27FC236}">
              <a16:creationId xmlns:a16="http://schemas.microsoft.com/office/drawing/2014/main" xmlns="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427" y="3806893"/>
          <a:ext cx="174926" cy="177434"/>
        </a:xfrm>
        <a:prstGeom prst="rect">
          <a:avLst/>
        </a:prstGeom>
      </xdr:spPr>
    </xdr:pic>
    <xdr:clientData/>
  </xdr:oneCellAnchor>
  <xdr:oneCellAnchor>
    <xdr:from>
      <xdr:col>36</xdr:col>
      <xdr:colOff>408615</xdr:colOff>
      <xdr:row>17</xdr:row>
      <xdr:rowOff>5274</xdr:rowOff>
    </xdr:from>
    <xdr:ext cx="174926" cy="177434"/>
    <xdr:pic macro="[0]!HoraInicio9">
      <xdr:nvPicPr>
        <xdr:cNvPr id="555" name="Gráfico 199" descr="Relógio com preenchimento sólido">
          <a:extLst>
            <a:ext uri="{FF2B5EF4-FFF2-40B4-BE49-F238E27FC236}">
              <a16:creationId xmlns:a16="http://schemas.microsoft.com/office/drawing/2014/main" xmlns="" id="{00000000-0008-0000-00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8065" y="3998783"/>
          <a:ext cx="174926" cy="177434"/>
        </a:xfrm>
        <a:prstGeom prst="rect">
          <a:avLst/>
        </a:prstGeom>
      </xdr:spPr>
    </xdr:pic>
    <xdr:clientData/>
  </xdr:oneCellAnchor>
  <xdr:oneCellAnchor>
    <xdr:from>
      <xdr:col>36</xdr:col>
      <xdr:colOff>408253</xdr:colOff>
      <xdr:row>18</xdr:row>
      <xdr:rowOff>4915</xdr:rowOff>
    </xdr:from>
    <xdr:ext cx="174926" cy="177434"/>
    <xdr:pic macro="[0]!HoraInicio10">
      <xdr:nvPicPr>
        <xdr:cNvPr id="556" name="Gráfico 200" descr="Relógio com preenchimento sólido">
          <a:extLst>
            <a:ext uri="{FF2B5EF4-FFF2-40B4-BE49-F238E27FC236}">
              <a16:creationId xmlns:a16="http://schemas.microsoft.com/office/drawing/2014/main" xmlns="" id="{00000000-0008-0000-00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4637703" y="4190672"/>
          <a:ext cx="174926" cy="177434"/>
        </a:xfrm>
        <a:prstGeom prst="rect">
          <a:avLst/>
        </a:prstGeom>
      </xdr:spPr>
    </xdr:pic>
    <xdr:clientData/>
  </xdr:oneCellAnchor>
  <xdr:oneCellAnchor>
    <xdr:from>
      <xdr:col>41</xdr:col>
      <xdr:colOff>400350</xdr:colOff>
      <xdr:row>9</xdr:row>
      <xdr:rowOff>14977</xdr:rowOff>
    </xdr:from>
    <xdr:ext cx="174385" cy="180978"/>
    <xdr:pic macro="[0]!HoraFinal1">
      <xdr:nvPicPr>
        <xdr:cNvPr id="557" name="Gráfico 201" descr="Relógio com preenchimento sólido">
          <a:extLst>
            <a:ext uri="{FF2B5EF4-FFF2-40B4-BE49-F238E27FC236}">
              <a16:creationId xmlns:a16="http://schemas.microsoft.com/office/drawing/2014/main" xmlns="" id="{00000000-0008-0000-00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7208" y="2470505"/>
          <a:ext cx="174385" cy="180978"/>
        </a:xfrm>
        <a:prstGeom prst="rect">
          <a:avLst/>
        </a:prstGeom>
      </xdr:spPr>
    </xdr:pic>
    <xdr:clientData/>
  </xdr:oneCellAnchor>
  <xdr:oneCellAnchor>
    <xdr:from>
      <xdr:col>41</xdr:col>
      <xdr:colOff>399988</xdr:colOff>
      <xdr:row>10</xdr:row>
      <xdr:rowOff>14618</xdr:rowOff>
    </xdr:from>
    <xdr:ext cx="174385" cy="180980"/>
    <xdr:pic macro="[0]!HoraFinal2">
      <xdr:nvPicPr>
        <xdr:cNvPr id="558" name="Gráfico 202" descr="Relógio com preenchimento sólido">
          <a:extLst>
            <a:ext uri="{FF2B5EF4-FFF2-40B4-BE49-F238E27FC236}">
              <a16:creationId xmlns:a16="http://schemas.microsoft.com/office/drawing/2014/main" xmlns="" id="{00000000-0008-0000-00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846" y="2662393"/>
          <a:ext cx="174385" cy="180980"/>
        </a:xfrm>
        <a:prstGeom prst="rect">
          <a:avLst/>
        </a:prstGeom>
      </xdr:spPr>
    </xdr:pic>
    <xdr:clientData/>
  </xdr:oneCellAnchor>
  <xdr:oneCellAnchor>
    <xdr:from>
      <xdr:col>41</xdr:col>
      <xdr:colOff>399626</xdr:colOff>
      <xdr:row>11</xdr:row>
      <xdr:rowOff>14260</xdr:rowOff>
    </xdr:from>
    <xdr:ext cx="174385" cy="180980"/>
    <xdr:pic macro="[0]!HoraFinal3">
      <xdr:nvPicPr>
        <xdr:cNvPr id="559" name="Gráfico 203" descr="Relógio com preenchimento sólido">
          <a:extLst>
            <a:ext uri="{FF2B5EF4-FFF2-40B4-BE49-F238E27FC236}">
              <a16:creationId xmlns:a16="http://schemas.microsoft.com/office/drawing/2014/main" xmlns="" id="{00000000-0008-0000-00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484" y="2854283"/>
          <a:ext cx="174385" cy="180980"/>
        </a:xfrm>
        <a:prstGeom prst="rect">
          <a:avLst/>
        </a:prstGeom>
      </xdr:spPr>
    </xdr:pic>
    <xdr:clientData/>
  </xdr:oneCellAnchor>
  <xdr:oneCellAnchor>
    <xdr:from>
      <xdr:col>41</xdr:col>
      <xdr:colOff>399991</xdr:colOff>
      <xdr:row>12</xdr:row>
      <xdr:rowOff>5633</xdr:rowOff>
    </xdr:from>
    <xdr:ext cx="174385" cy="177434"/>
    <xdr:pic macro="[0]!HoraFinal4">
      <xdr:nvPicPr>
        <xdr:cNvPr id="560" name="Gráfico 204" descr="Relógio com preenchimento sólido">
          <a:extLst>
            <a:ext uri="{FF2B5EF4-FFF2-40B4-BE49-F238E27FC236}">
              <a16:creationId xmlns:a16="http://schemas.microsoft.com/office/drawing/2014/main" xmlns="" id="{00000000-0008-0000-00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849" y="303790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399629</xdr:colOff>
      <xdr:row>13</xdr:row>
      <xdr:rowOff>5274</xdr:rowOff>
    </xdr:from>
    <xdr:ext cx="174385" cy="177434"/>
    <xdr:pic macro="[0]!HoraFinal5">
      <xdr:nvPicPr>
        <xdr:cNvPr id="561" name="Gráfico 205" descr="Relógio com preenchimento sólido">
          <a:extLst>
            <a:ext uri="{FF2B5EF4-FFF2-40B4-BE49-F238E27FC236}">
              <a16:creationId xmlns:a16="http://schemas.microsoft.com/office/drawing/2014/main" xmlns="" id="{00000000-0008-0000-00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487" y="3229792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14</xdr:row>
      <xdr:rowOff>4915</xdr:rowOff>
    </xdr:from>
    <xdr:ext cx="174385" cy="177434"/>
    <xdr:pic macro="[0]!HoraFinal6">
      <xdr:nvPicPr>
        <xdr:cNvPr id="562" name="Gráfico 206" descr="Relógio com preenchimento sólido">
          <a:extLst>
            <a:ext uri="{FF2B5EF4-FFF2-40B4-BE49-F238E27FC236}">
              <a16:creationId xmlns:a16="http://schemas.microsoft.com/office/drawing/2014/main" xmlns="" id="{00000000-0008-0000-00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125" y="3421681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399267</xdr:colOff>
      <xdr:row>15</xdr:row>
      <xdr:rowOff>13900</xdr:rowOff>
    </xdr:from>
    <xdr:ext cx="174385" cy="180978"/>
    <xdr:pic macro="[0]!HoraFinal7">
      <xdr:nvPicPr>
        <xdr:cNvPr id="563" name="Gráfico 207" descr="Relógio com preenchimento sólido">
          <a:extLst>
            <a:ext uri="{FF2B5EF4-FFF2-40B4-BE49-F238E27FC236}">
              <a16:creationId xmlns:a16="http://schemas.microsoft.com/office/drawing/2014/main" xmlns="" id="{00000000-0008-0000-00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125" y="3622914"/>
          <a:ext cx="174385" cy="180978"/>
        </a:xfrm>
        <a:prstGeom prst="rect">
          <a:avLst/>
        </a:prstGeom>
      </xdr:spPr>
    </xdr:pic>
    <xdr:clientData/>
  </xdr:oneCellAnchor>
  <xdr:oneCellAnchor>
    <xdr:from>
      <xdr:col>41</xdr:col>
      <xdr:colOff>399632</xdr:colOff>
      <xdr:row>16</xdr:row>
      <xdr:rowOff>5273</xdr:rowOff>
    </xdr:from>
    <xdr:ext cx="174385" cy="177434"/>
    <xdr:pic macro="[0]!HoraFinal8">
      <xdr:nvPicPr>
        <xdr:cNvPr id="564" name="Gráfico 208" descr="Relógio com preenchimento sólido">
          <a:extLst>
            <a:ext uri="{FF2B5EF4-FFF2-40B4-BE49-F238E27FC236}">
              <a16:creationId xmlns:a16="http://schemas.microsoft.com/office/drawing/2014/main" xmlns="" id="{00000000-0008-0000-00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490" y="380653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399270</xdr:colOff>
      <xdr:row>17</xdr:row>
      <xdr:rowOff>4915</xdr:rowOff>
    </xdr:from>
    <xdr:ext cx="174385" cy="177434"/>
    <xdr:pic macro="[0]!HoraFinal9">
      <xdr:nvPicPr>
        <xdr:cNvPr id="565" name="Gráfico 209" descr="Relógio com preenchimento sólido">
          <a:extLst>
            <a:ext uri="{FF2B5EF4-FFF2-40B4-BE49-F238E27FC236}">
              <a16:creationId xmlns:a16="http://schemas.microsoft.com/office/drawing/2014/main" xmlns="" id="{00000000-0008-0000-00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6128" y="3998424"/>
          <a:ext cx="174385" cy="177434"/>
        </a:xfrm>
        <a:prstGeom prst="rect">
          <a:avLst/>
        </a:prstGeom>
      </xdr:spPr>
    </xdr:pic>
    <xdr:clientData/>
  </xdr:oneCellAnchor>
  <xdr:oneCellAnchor>
    <xdr:from>
      <xdr:col>41</xdr:col>
      <xdr:colOff>398908</xdr:colOff>
      <xdr:row>18</xdr:row>
      <xdr:rowOff>4556</xdr:rowOff>
    </xdr:from>
    <xdr:ext cx="174385" cy="177434"/>
    <xdr:pic macro="[0]!HoraFinal10">
      <xdr:nvPicPr>
        <xdr:cNvPr id="566" name="Gráfico 210" descr="Relógio com preenchimento sólido">
          <a:extLst>
            <a:ext uri="{FF2B5EF4-FFF2-40B4-BE49-F238E27FC236}">
              <a16:creationId xmlns:a16="http://schemas.microsoft.com/office/drawing/2014/main" xmlns="" id="{00000000-0008-0000-00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19"/>
            </a:ext>
          </a:extLst>
        </a:blip>
        <a:stretch>
          <a:fillRect/>
        </a:stretch>
      </xdr:blipFill>
      <xdr:spPr>
        <a:xfrm>
          <a:off x="7555766" y="4190313"/>
          <a:ext cx="174385" cy="177434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27809</xdr:colOff>
      <xdr:row>0</xdr:row>
      <xdr:rowOff>17845</xdr:rowOff>
    </xdr:from>
    <xdr:to>
      <xdr:col>1</xdr:col>
      <xdr:colOff>909594</xdr:colOff>
      <xdr:row>0</xdr:row>
      <xdr:rowOff>437863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pSpPr/>
      </xdr:nvGrpSpPr>
      <xdr:grpSpPr>
        <a:xfrm>
          <a:off x="27809" y="17845"/>
          <a:ext cx="1931149" cy="420018"/>
          <a:chOff x="27809" y="17845"/>
          <a:chExt cx="1928678" cy="420018"/>
        </a:xfrm>
        <a:solidFill>
          <a:schemeClr val="accent1">
            <a:lumMod val="75000"/>
          </a:schemeClr>
        </a:solidFill>
      </xdr:grpSpPr>
      <xdr:sp macro="[0]!Voltar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/>
        </xdr:nvSpPr>
        <xdr:spPr>
          <a:xfrm>
            <a:off x="27809" y="17845"/>
            <a:ext cx="1928678" cy="420018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oltar" textlink="">
        <xdr:nvSpPr>
          <xdr:cNvPr id="6" name="Retângulo 5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/>
        </xdr:nvSpPr>
        <xdr:spPr>
          <a:xfrm>
            <a:off x="36683" y="63882"/>
            <a:ext cx="1479328" cy="322044"/>
          </a:xfrm>
          <a:prstGeom prst="rect">
            <a:avLst/>
          </a:prstGeom>
          <a:grp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Voltar</a:t>
            </a:r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Tela inicial</a:t>
            </a:r>
            <a:endParaRPr lang="pt-BR" sz="1400" b="1" cap="none" spc="0">
              <a:ln w="0"/>
              <a:solidFill>
                <a:srgbClr val="FFC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pic macro="[0]!Voltar">
        <xdr:nvPicPr>
          <xdr:cNvPr id="10" name="Gráfico 9" descr="Seta: retorno na horizontal com preenchimento sólido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518463" y="32845"/>
            <a:ext cx="333305" cy="364052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993221</xdr:colOff>
      <xdr:row>0</xdr:row>
      <xdr:rowOff>24797</xdr:rowOff>
    </xdr:from>
    <xdr:to>
      <xdr:col>2</xdr:col>
      <xdr:colOff>627995</xdr:colOff>
      <xdr:row>0</xdr:row>
      <xdr:rowOff>424107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pSpPr/>
      </xdr:nvGrpSpPr>
      <xdr:grpSpPr>
        <a:xfrm>
          <a:off x="2042585" y="24797"/>
          <a:ext cx="2266257" cy="399310"/>
          <a:chOff x="2537682" y="24797"/>
          <a:chExt cx="2245676" cy="392357"/>
        </a:xfrm>
        <a:solidFill>
          <a:schemeClr val="accent1">
            <a:lumMod val="75000"/>
          </a:schemeClr>
        </a:solidFill>
      </xdr:grpSpPr>
      <xdr:sp macro="[0]!CriarOS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/>
        </xdr:nvSpPr>
        <xdr:spPr>
          <a:xfrm>
            <a:off x="2537682" y="30166"/>
            <a:ext cx="2245676" cy="386988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riarOS" textlink="">
        <xdr:nvSpPr>
          <xdr:cNvPr id="19" name="Retângulo 18">
            <a:extLst>
              <a:ext uri="{FF2B5EF4-FFF2-40B4-BE49-F238E27FC236}">
                <a16:creationId xmlns:a16="http://schemas.microsoft.com/office/drawing/2014/main" xmlns="" id="{00000000-0008-0000-0100-000013000000}"/>
              </a:ext>
            </a:extLst>
          </xdr:cNvPr>
          <xdr:cNvSpPr/>
        </xdr:nvSpPr>
        <xdr:spPr>
          <a:xfrm>
            <a:off x="2635018" y="60787"/>
            <a:ext cx="1578230" cy="286841"/>
          </a:xfrm>
          <a:prstGeom prst="rect">
            <a:avLst/>
          </a:prstGeom>
          <a:grp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Criar Ordem</a:t>
            </a:r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</a:t>
            </a:r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Serviço</a:t>
            </a:r>
          </a:p>
        </xdr:txBody>
      </xdr:sp>
      <xdr:pic macro="[0]!CriarOS">
        <xdr:nvPicPr>
          <xdr:cNvPr id="22" name="Gráfico 21" descr="Máquina de escrever estrutura de tópicos">
            <a:extLst>
              <a:ext uri="{FF2B5EF4-FFF2-40B4-BE49-F238E27FC236}">
                <a16:creationId xmlns:a16="http://schemas.microsoft.com/office/drawing/2014/main" xmlns="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4317536" y="24797"/>
            <a:ext cx="378086" cy="379753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704836</xdr:colOff>
      <xdr:row>0</xdr:row>
      <xdr:rowOff>26799</xdr:rowOff>
    </xdr:from>
    <xdr:to>
      <xdr:col>7</xdr:col>
      <xdr:colOff>4570</xdr:colOff>
      <xdr:row>0</xdr:row>
      <xdr:rowOff>432954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pSpPr/>
      </xdr:nvGrpSpPr>
      <xdr:grpSpPr>
        <a:xfrm>
          <a:off x="4385683" y="26799"/>
          <a:ext cx="4183315" cy="406155"/>
          <a:chOff x="5407599" y="26799"/>
          <a:chExt cx="4247288" cy="406155"/>
        </a:xfrm>
        <a:solidFill>
          <a:schemeClr val="accent1">
            <a:lumMod val="75000"/>
          </a:schemeClr>
        </a:solidFill>
      </xdr:grpSpPr>
      <xdr:sp macro="[0]!SelecionarOS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xmlns="" id="{00000000-0008-0000-0100-00000C000000}"/>
              </a:ext>
            </a:extLst>
          </xdr:cNvPr>
          <xdr:cNvSpPr/>
        </xdr:nvSpPr>
        <xdr:spPr>
          <a:xfrm>
            <a:off x="5407599" y="26799"/>
            <a:ext cx="4247288" cy="393846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elecionarOS" textlink="">
        <xdr:nvSpPr>
          <xdr:cNvPr id="13" name="Retângulo 1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SpPr/>
        </xdr:nvSpPr>
        <xdr:spPr>
          <a:xfrm>
            <a:off x="5504127" y="57963"/>
            <a:ext cx="3492668" cy="291924"/>
          </a:xfrm>
          <a:prstGeom prst="rect">
            <a:avLst/>
          </a:prstGeom>
          <a:grp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Selecionar Ordem</a:t>
            </a:r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</a:t>
            </a:r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Serviço para</a:t>
            </a:r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Preenchimento</a:t>
            </a:r>
            <a:endParaRPr lang="pt-BR" sz="1400" b="1" cap="none" spc="0">
              <a:ln w="0"/>
              <a:solidFill>
                <a:srgbClr val="FFC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pic macro="[0]!SelecionarOS">
        <xdr:nvPicPr>
          <xdr:cNvPr id="7" name="Gráfico 6" descr="Dedo indicador apontando para a direita com preenchimento sólido">
            <a:extLst>
              <a:ext uri="{FF2B5EF4-FFF2-40B4-BE49-F238E27FC236}">
                <a16:creationId xmlns:a16="http://schemas.microsoft.com/office/drawing/2014/main" xmlns="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9135340" y="34637"/>
            <a:ext cx="398317" cy="39831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912924</xdr:colOff>
      <xdr:row>0</xdr:row>
      <xdr:rowOff>31629</xdr:rowOff>
    </xdr:from>
    <xdr:to>
      <xdr:col>9</xdr:col>
      <xdr:colOff>151788</xdr:colOff>
      <xdr:row>0</xdr:row>
      <xdr:rowOff>451647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8427988" y="31629"/>
          <a:ext cx="2386957" cy="420018"/>
          <a:chOff x="8647577" y="31629"/>
          <a:chExt cx="2387405" cy="420018"/>
        </a:xfrm>
      </xdr:grpSpPr>
      <xdr:sp macro="[0]!ClassificarData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xmlns="" id="{00000000-0008-0000-0100-000014000000}"/>
              </a:ext>
            </a:extLst>
          </xdr:cNvPr>
          <xdr:cNvSpPr/>
        </xdr:nvSpPr>
        <xdr:spPr>
          <a:xfrm>
            <a:off x="8647577" y="31629"/>
            <a:ext cx="2387405" cy="420018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lassificarData" textlink="">
        <xdr:nvSpPr>
          <xdr:cNvPr id="21" name="Retângulo 20">
            <a:extLst>
              <a:ext uri="{FF2B5EF4-FFF2-40B4-BE49-F238E27FC236}">
                <a16:creationId xmlns:a16="http://schemas.microsoft.com/office/drawing/2014/main" xmlns="" id="{00000000-0008-0000-0100-000015000000}"/>
              </a:ext>
            </a:extLst>
          </xdr:cNvPr>
          <xdr:cNvSpPr/>
        </xdr:nvSpPr>
        <xdr:spPr>
          <a:xfrm>
            <a:off x="8671066" y="86247"/>
            <a:ext cx="2152909" cy="311496"/>
          </a:xfrm>
          <a:prstGeom prst="rect">
            <a:avLst/>
          </a:prstGeom>
          <a:solidFill>
            <a:schemeClr val="accent1">
              <a:lumMod val="75000"/>
            </a:schemeClr>
          </a:solidFill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Data Por Ordem Crescente</a:t>
            </a:r>
            <a:endParaRPr lang="pt-BR" sz="1400" b="1" cap="none" spc="0">
              <a:ln w="0"/>
              <a:solidFill>
                <a:srgbClr val="FFC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pic macro="[0]!ClassificarData">
        <xdr:nvPicPr>
          <xdr:cNvPr id="23" name="Gráfico 22" descr="Classificar com preenchimento sólido">
            <a:extLst>
              <a:ext uri="{FF2B5EF4-FFF2-40B4-BE49-F238E27FC236}">
                <a16:creationId xmlns:a16="http://schemas.microsoft.com/office/drawing/2014/main" xmlns="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10706051" y="84493"/>
            <a:ext cx="316610" cy="3175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917253</xdr:colOff>
      <xdr:row>0</xdr:row>
      <xdr:rowOff>33197</xdr:rowOff>
    </xdr:from>
    <xdr:to>
      <xdr:col>9</xdr:col>
      <xdr:colOff>161926</xdr:colOff>
      <xdr:row>0</xdr:row>
      <xdr:rowOff>453215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pSpPr/>
      </xdr:nvGrpSpPr>
      <xdr:grpSpPr>
        <a:xfrm>
          <a:off x="8432317" y="33197"/>
          <a:ext cx="2392766" cy="420018"/>
          <a:chOff x="5459263" y="2352706"/>
          <a:chExt cx="2393214" cy="420018"/>
        </a:xfrm>
      </xdr:grpSpPr>
      <xdr:sp macro="[0]!ClassificarHora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/>
        </xdr:nvSpPr>
        <xdr:spPr>
          <a:xfrm>
            <a:off x="5459263" y="2352706"/>
            <a:ext cx="2393214" cy="420018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lassificarHora" textlink="">
        <xdr:nvSpPr>
          <xdr:cNvPr id="16" name="Retângulo 15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/>
        </xdr:nvSpPr>
        <xdr:spPr>
          <a:xfrm>
            <a:off x="5469160" y="2407324"/>
            <a:ext cx="2167590" cy="311496"/>
          </a:xfrm>
          <a:prstGeom prst="rect">
            <a:avLst/>
          </a:prstGeom>
          <a:solidFill>
            <a:schemeClr val="accent1">
              <a:lumMod val="75000"/>
            </a:schemeClr>
          </a:solidFill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Hora Por Ordem Crescente</a:t>
            </a:r>
            <a:endParaRPr lang="pt-BR" sz="1400" b="1" cap="none" spc="0">
              <a:ln w="0"/>
              <a:solidFill>
                <a:srgbClr val="FFC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pic macro="[0]!ClassificarHora">
        <xdr:nvPicPr>
          <xdr:cNvPr id="8" name="Gráfico 7" descr="Classificar com preenchimento sólido"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7522745" y="2405570"/>
            <a:ext cx="317380" cy="3175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27810</xdr:colOff>
      <xdr:row>0</xdr:row>
      <xdr:rowOff>17845</xdr:rowOff>
    </xdr:from>
    <xdr:to>
      <xdr:col>1</xdr:col>
      <xdr:colOff>248271</xdr:colOff>
      <xdr:row>0</xdr:row>
      <xdr:rowOff>437863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pSpPr/>
      </xdr:nvGrpSpPr>
      <xdr:grpSpPr>
        <a:xfrm>
          <a:off x="27810" y="17845"/>
          <a:ext cx="1934961" cy="420018"/>
          <a:chOff x="27810" y="17845"/>
          <a:chExt cx="1931589" cy="420018"/>
        </a:xfrm>
      </xdr:grpSpPr>
      <xdr:sp macro="[0]!Voltar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xmlns="" id="{00000000-0008-0000-0200-000003000000}"/>
              </a:ext>
            </a:extLst>
          </xdr:cNvPr>
          <xdr:cNvSpPr/>
        </xdr:nvSpPr>
        <xdr:spPr>
          <a:xfrm>
            <a:off x="27810" y="17845"/>
            <a:ext cx="1931589" cy="420018"/>
          </a:xfrm>
          <a:prstGeom prst="roundRect">
            <a:avLst/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oltar" textlink="">
        <xdr:nvSpPr>
          <xdr:cNvPr id="4" name="Retângulo 3">
            <a:extLst>
              <a:ext uri="{FF2B5EF4-FFF2-40B4-BE49-F238E27FC236}">
                <a16:creationId xmlns:a16="http://schemas.microsoft.com/office/drawing/2014/main" xmlns="" id="{00000000-0008-0000-0200-000004000000}"/>
              </a:ext>
            </a:extLst>
          </xdr:cNvPr>
          <xdr:cNvSpPr/>
        </xdr:nvSpPr>
        <xdr:spPr>
          <a:xfrm>
            <a:off x="81776" y="63882"/>
            <a:ext cx="1343565" cy="322044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Voltar</a:t>
            </a:r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Tela inicial</a:t>
            </a:r>
            <a:endParaRPr lang="pt-BR" sz="1400" b="1" cap="none" spc="0">
              <a:ln w="0"/>
              <a:solidFill>
                <a:srgbClr val="FFC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pic macro="[0]!Voltar">
        <xdr:nvPicPr>
          <xdr:cNvPr id="5" name="Gráfico 4" descr="Seta: retorno na horizontal com preenchimento sólido">
            <a:extLst>
              <a:ext uri="{FF2B5EF4-FFF2-40B4-BE49-F238E27FC236}">
                <a16:creationId xmlns:a16="http://schemas.microsoft.com/office/drawing/2014/main" xmlns="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521379" y="41275"/>
            <a:ext cx="349903" cy="36405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750197</xdr:colOff>
      <xdr:row>0</xdr:row>
      <xdr:rowOff>38216</xdr:rowOff>
    </xdr:from>
    <xdr:to>
      <xdr:col>11</xdr:col>
      <xdr:colOff>1224110</xdr:colOff>
      <xdr:row>0</xdr:row>
      <xdr:rowOff>458234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GrpSpPr/>
      </xdr:nvGrpSpPr>
      <xdr:grpSpPr>
        <a:xfrm>
          <a:off x="8387515" y="38216"/>
          <a:ext cx="2517459" cy="420018"/>
          <a:chOff x="8488209" y="38216"/>
          <a:chExt cx="2522210" cy="420018"/>
        </a:xfrm>
      </xdr:grpSpPr>
      <xdr:sp macro="[0]!_xludf.Subtotal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/>
        </xdr:nvSpPr>
        <xdr:spPr>
          <a:xfrm>
            <a:off x="8488209" y="38216"/>
            <a:ext cx="2522210" cy="420018"/>
          </a:xfrm>
          <a:prstGeom prst="roundRect">
            <a:avLst/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Subtotal" textlink="">
        <xdr:nvSpPr>
          <xdr:cNvPr id="8" name="Retângulo 7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/>
        </xdr:nvSpPr>
        <xdr:spPr>
          <a:xfrm>
            <a:off x="8564071" y="93684"/>
            <a:ext cx="2102053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SubTotal</a:t>
            </a:r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das Horas por Data</a:t>
            </a:r>
            <a:endParaRPr lang="pt-BR" sz="1400" b="1" cap="none" spc="0">
              <a:ln w="0"/>
              <a:solidFill>
                <a:srgbClr val="FFC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pic macro="[0]!_xludf.Subtotal">
        <xdr:nvPicPr>
          <xdr:cNvPr id="12" name="Gráfico 11" descr="Selo seguir com preenchimento sólido">
            <a:extLst>
              <a:ext uri="{FF2B5EF4-FFF2-40B4-BE49-F238E27FC236}">
                <a16:creationId xmlns:a16="http://schemas.microsoft.com/office/drawing/2014/main" xmlns="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10671372" y="66015"/>
            <a:ext cx="302424" cy="36779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27809</xdr:colOff>
      <xdr:row>0</xdr:row>
      <xdr:rowOff>17845</xdr:rowOff>
    </xdr:from>
    <xdr:to>
      <xdr:col>1</xdr:col>
      <xdr:colOff>1104291</xdr:colOff>
      <xdr:row>0</xdr:row>
      <xdr:rowOff>437863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pSpPr/>
      </xdr:nvGrpSpPr>
      <xdr:grpSpPr>
        <a:xfrm>
          <a:off x="27809" y="17845"/>
          <a:ext cx="2187732" cy="420018"/>
          <a:chOff x="27809" y="17845"/>
          <a:chExt cx="2191604" cy="420018"/>
        </a:xfrm>
      </xdr:grpSpPr>
      <xdr:sp macro="[0]!Voltar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xmlns="" id="{00000000-0008-0000-0300-000003000000}"/>
              </a:ext>
            </a:extLst>
          </xdr:cNvPr>
          <xdr:cNvSpPr/>
        </xdr:nvSpPr>
        <xdr:spPr>
          <a:xfrm>
            <a:off x="27809" y="17845"/>
            <a:ext cx="2191604" cy="420018"/>
          </a:xfrm>
          <a:prstGeom prst="roundRect">
            <a:avLst/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Voltar" textlink="">
        <xdr:nvSpPr>
          <xdr:cNvPr id="4" name="Retângulo 3">
            <a:extLst>
              <a:ext uri="{FF2B5EF4-FFF2-40B4-BE49-F238E27FC236}">
                <a16:creationId xmlns:a16="http://schemas.microsoft.com/office/drawing/2014/main" xmlns="" id="{00000000-0008-0000-0300-000004000000}"/>
              </a:ext>
            </a:extLst>
          </xdr:cNvPr>
          <xdr:cNvSpPr/>
        </xdr:nvSpPr>
        <xdr:spPr>
          <a:xfrm>
            <a:off x="37893" y="63882"/>
            <a:ext cx="1680997" cy="32204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Voltar</a:t>
            </a:r>
            <a:r>
              <a:rPr lang="pt-BR" sz="1400" b="1" cap="none" spc="0" baseline="0">
                <a:ln w="0"/>
                <a:solidFill>
                  <a:srgbClr val="FFC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Tela inicial</a:t>
            </a:r>
            <a:endParaRPr lang="pt-BR" sz="1400" b="1" cap="none" spc="0">
              <a:ln w="0"/>
              <a:solidFill>
                <a:srgbClr val="FFC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pic macro="[0]!Voltar">
        <xdr:nvPicPr>
          <xdr:cNvPr id="5" name="Gráfico 4" descr="Seta: retorno na horizontal com preenchimento sólido">
            <a:extLst>
              <a:ext uri="{FF2B5EF4-FFF2-40B4-BE49-F238E27FC236}">
                <a16:creationId xmlns:a16="http://schemas.microsoft.com/office/drawing/2014/main" xmlns="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721676" y="32845"/>
            <a:ext cx="378743" cy="364052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id="1" name="Tabela22" displayName="Tabela22" ref="A2:K3" totalsRowShown="0" headerRowDxfId="65" dataDxfId="64">
  <autoFilter ref="A2:K3"/>
  <sortState ref="A3:K6">
    <sortCondition ref="G2:G6"/>
  </sortState>
  <tableColumns count="11">
    <tableColumn id="1" name="Equipamento" dataDxfId="63"/>
    <tableColumn id="10" name="Descrição" dataDxfId="62"/>
    <tableColumn id="11" name="Centro T." dataDxfId="61"/>
    <tableColumn id="12" name="Nota" dataDxfId="60"/>
    <tableColumn id="13" name="Ordem" dataDxfId="59"/>
    <tableColumn id="14" name="Centro Custo" dataDxfId="58"/>
    <tableColumn id="15" name="Data Nota" dataDxfId="57"/>
    <tableColumn id="16" name="Início Avaria" dataDxfId="56"/>
    <tableColumn id="17" name="Notificador" dataDxfId="55"/>
    <tableColumn id="18" name="Parada" dataDxfId="54"/>
    <tableColumn id="2" name="Coluna1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a223" displayName="Tabela223" ref="A2:L3" insertRow="1" totalsRowShown="0" headerRowDxfId="52" dataDxfId="51">
  <autoFilter ref="A2:L3"/>
  <sortState ref="A3:L12">
    <sortCondition ref="G2:G12"/>
  </sortState>
  <tableColumns count="12">
    <tableColumn id="1" name="Nome Colaborador" dataDxfId="50"/>
    <tableColumn id="10" name="Numero RE" dataDxfId="49"/>
    <tableColumn id="12" name="Equipamento" dataDxfId="48"/>
    <tableColumn id="5" name="Ordem Serviço" dataDxfId="47"/>
    <tableColumn id="13" name="Data Lançamento" dataDxfId="46"/>
    <tableColumn id="14" name="Data de Criação" dataDxfId="45"/>
    <tableColumn id="16" name="Data Inicial" dataDxfId="44"/>
    <tableColumn id="18" name="Data Final" dataDxfId="43"/>
    <tableColumn id="3" name="Hora Inicial" dataDxfId="42"/>
    <tableColumn id="6" name="Hora Final" dataDxfId="41"/>
    <tableColumn id="2" name="Total de Horas" dataDxfId="40">
      <calculatedColumnFormula>IF(Tabela223[[#This Row],[Data Inicial]]=Tabela223[[#This Row],[Data Final]],Tabela223[[#This Row],[Hora Final]]-Tabela223[[#This Row],[Hora Inicial]],"24:00:00"-Tabela223[[#This Row],[Hora Inicial]]+Tabela223[[#This Row],[Hora Final]])</calculatedColumnFormula>
    </tableColumn>
    <tableColumn id="7" name="Local de Instalação" dataDxfId="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2234" displayName="Tabela2234" ref="A10:L69" totalsRowShown="0" headerRowDxfId="38" dataDxfId="37">
  <autoFilter ref="A10:L69"/>
  <tableColumns count="12">
    <tableColumn id="1" name="Numero RE" dataDxfId="36"/>
    <tableColumn id="10" name="Nome Colaborador" dataDxfId="35"/>
    <tableColumn id="11" name="Equipamento" dataDxfId="34"/>
    <tableColumn id="12" name="Ordem _x000a_Serviço" dataDxfId="33"/>
    <tableColumn id="5" name="Data _x000a_Lançamento" dataDxfId="32"/>
    <tableColumn id="13" name="Data de _x000a_Criação" dataDxfId="31"/>
    <tableColumn id="14" name="Data Inicial" dataDxfId="30"/>
    <tableColumn id="16" name="Data Final" dataDxfId="29"/>
    <tableColumn id="18" name="Hora Inicial" dataDxfId="28"/>
    <tableColumn id="3" name="Hora Final" dataDxfId="27"/>
    <tableColumn id="6" name="Total de _x000a_Horas" dataDxfId="26">
      <calculatedColumnFormula>IF(Tabela2234[[#This Row],[Data Inicial]]=Tabela2234[[#This Row],[Data Final]],Tabela2234[[#This Row],[Hora Final]]-Tabela2234[[#This Row],[Hora Inicial]],"24:00:00"-Tabela2234[[#This Row],[Hora Inicial]]+Tabela2234[[#This Row],[Hora Final]])</calculatedColumnFormula>
    </tableColumn>
    <tableColumn id="2" name="Local de Instalação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225" displayName="Tabela225" ref="A2:K3" totalsRowShown="0" headerRowDxfId="24" dataDxfId="23">
  <autoFilter ref="A2:K3"/>
  <tableColumns count="11">
    <tableColumn id="1" name="Equipamento" dataDxfId="22"/>
    <tableColumn id="10" name="Descrição" dataDxfId="21"/>
    <tableColumn id="11" name="Centro T." dataDxfId="20"/>
    <tableColumn id="12" name="Nota" dataDxfId="19"/>
    <tableColumn id="13" name="Ordem" dataDxfId="18"/>
    <tableColumn id="14" name="Coluna1" dataDxfId="17"/>
    <tableColumn id="15" name="Centro Custo" dataDxfId="16"/>
    <tableColumn id="16" name="Data Nota" dataDxfId="15"/>
    <tableColumn id="17" name="Início Avaria" dataDxfId="14"/>
    <tableColumn id="18" name="Notificador" dataDxfId="13"/>
    <tableColumn id="2" name="Parada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2256" displayName="Tabela2256" ref="A6:J7" totalsRowShown="0" headerRowDxfId="11" dataDxfId="10">
  <autoFilter ref="A6:J7"/>
  <tableColumns count="10">
    <tableColumn id="1" name="Numero RE" dataDxfId="9"/>
    <tableColumn id="10" name="Nome Colaborador" dataDxfId="8"/>
    <tableColumn id="11" name="Data início" dataDxfId="7"/>
    <tableColumn id="12" name="Hora Início" dataDxfId="6"/>
    <tableColumn id="13" name="Data Final" dataDxfId="5"/>
    <tableColumn id="14" name="Coluna1" dataDxfId="4"/>
    <tableColumn id="15" name="Hora Final" dataDxfId="3"/>
    <tableColumn id="16" name="Parada" dataDxfId="2"/>
    <tableColumn id="17" name="Total de Parada" dataDxfId="1"/>
    <tableColumn id="18" name="Tempo Parad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6ED958C-2370-44CF-909E-05543300A5EE}">
  <we:reference id="95ab9593-4fd4-42ae-8d5d-21b757806ed0" version="1.0.0.0" store="\\spw019\Excelmanifest\" storeType="Filesystem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6" Type="http://schemas.openxmlformats.org/officeDocument/2006/relationships/ctrlProp" Target="../ctrlProps/ctrlProp1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5" Type="http://schemas.openxmlformats.org/officeDocument/2006/relationships/ctrlProp" Target="../ctrlProps/ctrlProp1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18" Type="http://schemas.openxmlformats.org/officeDocument/2006/relationships/ctrlProp" Target="../ctrlProps/ctrlProp114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" Type="http://schemas.openxmlformats.org/officeDocument/2006/relationships/hyperlink" Target="mailto:Jun2023@a" TargetMode="External"/><Relationship Id="rId6" Type="http://schemas.openxmlformats.org/officeDocument/2006/relationships/ctrlProp" Target="../ctrlProps/ctrlProp2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2" Type="http://schemas.openxmlformats.org/officeDocument/2006/relationships/printerSettings" Target="../printerSettings/printerSettings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3" Type="http://schemas.openxmlformats.org/officeDocument/2006/relationships/drawing" Target="../drawings/drawing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1:AR417"/>
  <sheetViews>
    <sheetView showGridLines="0" tabSelected="1" zoomScale="109" zoomScaleNormal="109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I14" sqref="I14:J14"/>
    </sheetView>
  </sheetViews>
  <sheetFormatPr defaultRowHeight="14.25" x14ac:dyDescent="0.25"/>
  <cols>
    <col min="1" max="1" width="2.7109375" style="5" customWidth="1"/>
    <col min="2" max="4" width="12.28515625" style="5" customWidth="1"/>
    <col min="5" max="5" width="11.85546875" style="5" customWidth="1"/>
    <col min="6" max="6" width="3.28515625" style="5" customWidth="1"/>
    <col min="7" max="8" width="8.7109375" style="5" customWidth="1"/>
    <col min="9" max="10" width="11.7109375" style="5" customWidth="1"/>
    <col min="11" max="11" width="3.28515625" style="5" customWidth="1"/>
    <col min="12" max="16" width="8.7109375" style="5" customWidth="1"/>
    <col min="17" max="17" width="8.85546875" style="5" customWidth="1"/>
    <col min="18" max="18" width="2.42578125" style="5" customWidth="1"/>
    <col min="19" max="19" width="82.5703125" style="8" hidden="1" customWidth="1"/>
    <col min="20" max="20" width="12" style="8" hidden="1" customWidth="1"/>
    <col min="21" max="21" width="15.5703125" style="8" hidden="1" customWidth="1"/>
    <col min="22" max="22" width="10.140625" style="8" hidden="1" customWidth="1"/>
    <col min="23" max="23" width="12.28515625" style="8" hidden="1" customWidth="1"/>
    <col min="24" max="24" width="15.7109375" style="8" hidden="1" customWidth="1"/>
    <col min="25" max="25" width="10.140625" style="8" hidden="1" customWidth="1"/>
    <col min="26" max="26" width="13.28515625" style="5" customWidth="1"/>
    <col min="27" max="28" width="8.7109375" style="5" customWidth="1"/>
    <col min="29" max="29" width="4.28515625" style="5" customWidth="1"/>
    <col min="30" max="16384" width="9.140625" style="5"/>
  </cols>
  <sheetData>
    <row r="1" spans="2:44" ht="15" thickBot="1" x14ac:dyDescent="0.3">
      <c r="S1" s="9">
        <v>44745</v>
      </c>
    </row>
    <row r="2" spans="2:44" ht="30" customHeight="1" thickTop="1" thickBot="1" x14ac:dyDescent="0.3">
      <c r="B2" s="153" t="s">
        <v>47</v>
      </c>
      <c r="C2" s="153"/>
      <c r="D2" s="153"/>
      <c r="E2" s="153"/>
      <c r="F2" s="153"/>
      <c r="G2" s="153"/>
      <c r="H2" s="153"/>
      <c r="I2" s="153"/>
      <c r="J2" s="211" t="s">
        <v>34</v>
      </c>
      <c r="K2" s="212"/>
      <c r="L2" s="212"/>
      <c r="M2" s="212"/>
      <c r="N2" s="212"/>
      <c r="O2" s="212"/>
      <c r="P2" s="212"/>
      <c r="Q2" s="213"/>
      <c r="S2" s="9">
        <v>45103</v>
      </c>
      <c r="T2" s="8">
        <f ca="1">IF(AND(S2&lt;&gt;"",S2&lt;=W4,S2&gt;=W2),1,0)</f>
        <v>1</v>
      </c>
      <c r="U2" s="8">
        <v>3</v>
      </c>
      <c r="W2" s="9">
        <v>44621</v>
      </c>
      <c r="Z2" s="126" t="s">
        <v>27</v>
      </c>
      <c r="AA2" s="127"/>
      <c r="AB2" s="128"/>
    </row>
    <row r="3" spans="2:44" ht="21.75" customHeight="1" thickTop="1" thickBot="1" x14ac:dyDescent="0.3">
      <c r="B3" s="122" t="s">
        <v>46</v>
      </c>
      <c r="C3" s="122" t="s">
        <v>51</v>
      </c>
      <c r="D3" s="122" t="s">
        <v>51</v>
      </c>
      <c r="E3" s="124" t="s">
        <v>63</v>
      </c>
      <c r="F3" s="71" t="s">
        <v>52</v>
      </c>
      <c r="G3" s="72"/>
      <c r="H3" s="72"/>
      <c r="I3" s="73"/>
      <c r="J3" s="218" t="s">
        <v>35</v>
      </c>
      <c r="K3" s="219"/>
      <c r="L3" s="217"/>
      <c r="M3" s="217"/>
      <c r="N3" s="217"/>
      <c r="O3" s="217"/>
      <c r="P3" s="217"/>
      <c r="Q3" s="217"/>
      <c r="S3" s="37" t="s">
        <v>237</v>
      </c>
      <c r="T3" s="8">
        <v>1</v>
      </c>
      <c r="U3" s="38">
        <v>0</v>
      </c>
      <c r="X3" s="10"/>
      <c r="Z3" s="129"/>
      <c r="AA3" s="130"/>
      <c r="AB3" s="131"/>
    </row>
    <row r="4" spans="2:44" ht="33.75" customHeight="1" thickTop="1" thickBot="1" x14ac:dyDescent="0.25">
      <c r="B4" s="123"/>
      <c r="C4" s="123"/>
      <c r="D4" s="123"/>
      <c r="E4" s="125"/>
      <c r="F4" s="74"/>
      <c r="G4" s="75"/>
      <c r="H4" s="75"/>
      <c r="I4" s="76"/>
      <c r="J4" s="214" t="s">
        <v>50</v>
      </c>
      <c r="K4" s="215"/>
      <c r="L4" s="216"/>
      <c r="M4" s="216"/>
      <c r="N4" s="152"/>
      <c r="O4" s="152"/>
      <c r="P4" s="151"/>
      <c r="Q4" s="151"/>
      <c r="S4" s="33">
        <f>LEN(F4)</f>
        <v>0</v>
      </c>
      <c r="T4" s="11">
        <v>0.38055555555555554</v>
      </c>
      <c r="U4" s="11">
        <v>0.42708333333333331</v>
      </c>
      <c r="V4" s="8">
        <f>IF(U4&gt;T4,2,IF(T4=U4,1,0))</f>
        <v>2</v>
      </c>
      <c r="W4" s="9">
        <f ca="1">TODAY()</f>
        <v>45107</v>
      </c>
    </row>
    <row r="5" spans="2:44" ht="15" customHeight="1" thickTop="1" thickBot="1" x14ac:dyDescent="0.3">
      <c r="B5" s="197"/>
      <c r="C5" s="198"/>
      <c r="D5" s="198"/>
      <c r="E5" s="198"/>
      <c r="F5" s="198"/>
      <c r="G5" s="198"/>
      <c r="H5" s="198"/>
      <c r="I5" s="198"/>
      <c r="J5" s="198"/>
      <c r="K5" s="198"/>
      <c r="L5" s="198"/>
      <c r="M5" s="198"/>
      <c r="N5" s="198"/>
      <c r="O5" s="198"/>
      <c r="P5" s="198"/>
      <c r="Q5" s="199"/>
      <c r="Z5" s="91" t="s">
        <v>0</v>
      </c>
      <c r="AA5" s="92"/>
      <c r="AB5" s="93"/>
    </row>
    <row r="6" spans="2:44" ht="30" customHeight="1" thickTop="1" thickBot="1" x14ac:dyDescent="0.3">
      <c r="B6" s="200" t="s">
        <v>4</v>
      </c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94"/>
      <c r="S6" s="8">
        <f>(COUNT(B10:C19))</f>
        <v>0</v>
      </c>
      <c r="T6" s="9">
        <v>45103</v>
      </c>
      <c r="U6" s="9">
        <v>45103</v>
      </c>
      <c r="V6" s="8">
        <f ca="1">IF(AND(U6&gt;T6,U6&lt;=W4,D10&lt;=W4),2,IF(AND(T6=U6,D10&lt;=W4,I10&lt;=W4),1,0))</f>
        <v>1</v>
      </c>
      <c r="W6" s="8">
        <f ca="1">IF(U4&gt;T4,IF(U6=W4,IF(U4&lt;X6,1,0),1),IF(U6=W4,IF(U4&lt;X6,1,0),IF(U6&gt;T6,1,0)))</f>
        <v>1</v>
      </c>
      <c r="X6" s="10">
        <f ca="1">NOW()-TODAY()</f>
        <v>0.72108668981672963</v>
      </c>
      <c r="Z6" s="132"/>
      <c r="AA6" s="133"/>
      <c r="AB6" s="134"/>
    </row>
    <row r="7" spans="2:44" ht="15" customHeight="1" thickTop="1" x14ac:dyDescent="0.25">
      <c r="B7" s="91" t="s">
        <v>134</v>
      </c>
      <c r="C7" s="93"/>
      <c r="D7" s="224" t="s">
        <v>5</v>
      </c>
      <c r="E7" s="220"/>
      <c r="F7" s="220"/>
      <c r="G7" s="220" t="s">
        <v>6</v>
      </c>
      <c r="H7" s="221"/>
      <c r="I7" s="224" t="s">
        <v>15</v>
      </c>
      <c r="J7" s="220"/>
      <c r="K7" s="220"/>
      <c r="L7" s="140" t="s">
        <v>16</v>
      </c>
      <c r="M7" s="141"/>
      <c r="N7" s="145" t="s">
        <v>17</v>
      </c>
      <c r="O7" s="146"/>
      <c r="P7" s="91" t="s">
        <v>18</v>
      </c>
      <c r="Q7" s="93"/>
      <c r="Z7" s="1" t="s">
        <v>1</v>
      </c>
      <c r="AA7" s="135" t="s">
        <v>242</v>
      </c>
      <c r="AB7" s="136"/>
    </row>
    <row r="8" spans="2:44" ht="15.75" customHeight="1" thickBot="1" x14ac:dyDescent="0.3">
      <c r="B8" s="184"/>
      <c r="C8" s="226"/>
      <c r="D8" s="225"/>
      <c r="E8" s="222"/>
      <c r="F8" s="222"/>
      <c r="G8" s="222"/>
      <c r="H8" s="223"/>
      <c r="I8" s="225"/>
      <c r="J8" s="222"/>
      <c r="K8" s="222"/>
      <c r="L8" s="142"/>
      <c r="M8" s="143"/>
      <c r="N8" s="147"/>
      <c r="O8" s="148"/>
      <c r="P8" s="184"/>
      <c r="Q8" s="226"/>
      <c r="S8" s="8" t="s">
        <v>19</v>
      </c>
      <c r="T8" s="9">
        <v>45103</v>
      </c>
      <c r="U8" s="10">
        <v>0</v>
      </c>
      <c r="V8" s="10">
        <v>0.99998842592592585</v>
      </c>
      <c r="W8" s="10">
        <v>1.1574074074074073E-5</v>
      </c>
      <c r="Z8" s="2" t="s">
        <v>3</v>
      </c>
      <c r="AA8" s="137" t="s">
        <v>147</v>
      </c>
      <c r="AB8" s="138"/>
    </row>
    <row r="9" spans="2:44" ht="15.75" customHeight="1" thickTop="1" thickBot="1" x14ac:dyDescent="0.3">
      <c r="B9" s="132"/>
      <c r="C9" s="134"/>
      <c r="D9" s="227" t="s">
        <v>29</v>
      </c>
      <c r="E9" s="228"/>
      <c r="F9" s="229"/>
      <c r="G9" s="231" t="s">
        <v>31</v>
      </c>
      <c r="H9" s="232"/>
      <c r="I9" s="165" t="s">
        <v>29</v>
      </c>
      <c r="J9" s="166"/>
      <c r="K9" s="230"/>
      <c r="L9" s="231" t="s">
        <v>31</v>
      </c>
      <c r="M9" s="232"/>
      <c r="N9" s="149"/>
      <c r="O9" s="150"/>
      <c r="P9" s="132"/>
      <c r="Q9" s="134"/>
      <c r="S9" s="8" t="s">
        <v>8</v>
      </c>
      <c r="Y9" s="34"/>
    </row>
    <row r="10" spans="2:44" ht="15" customHeight="1" thickTop="1" thickBot="1" x14ac:dyDescent="0.25">
      <c r="B10" s="103"/>
      <c r="C10" s="104"/>
      <c r="D10" s="99"/>
      <c r="E10" s="100"/>
      <c r="F10" s="7"/>
      <c r="G10" s="105"/>
      <c r="H10" s="106"/>
      <c r="I10" s="99"/>
      <c r="J10" s="100"/>
      <c r="K10" s="7"/>
      <c r="L10" s="95"/>
      <c r="M10" s="96"/>
      <c r="N10" s="111">
        <v>1</v>
      </c>
      <c r="O10" s="112"/>
      <c r="P10" s="112">
        <v>1</v>
      </c>
      <c r="Q10" s="139"/>
      <c r="S10" s="8" t="s">
        <v>9</v>
      </c>
      <c r="U10" s="8" t="str">
        <f t="shared" ref="U10:U19" si="0">TEXT(G10,"hh:mm:ss")</f>
        <v>00:00:00</v>
      </c>
      <c r="V10" s="8" t="str">
        <f t="shared" ref="V10:V19" si="1">TEXT(L10,"hh:mm:ss")</f>
        <v>00:00:00</v>
      </c>
      <c r="W10" s="33"/>
      <c r="X10" s="33">
        <f t="shared" ref="X10:X19" si="2">IF(AND(AE10=B10,D10=AG10,AJ10=G10,I10=AL10,L10=AO10,N10=AQ10),1,0)</f>
        <v>1</v>
      </c>
      <c r="Y10" s="33"/>
      <c r="Z10" s="113" t="s">
        <v>26</v>
      </c>
      <c r="AA10" s="114"/>
      <c r="AB10" s="115"/>
      <c r="AE10" s="103"/>
      <c r="AF10" s="104"/>
      <c r="AG10" s="99"/>
      <c r="AH10" s="100"/>
      <c r="AI10" s="7"/>
      <c r="AJ10" s="105"/>
      <c r="AK10" s="106"/>
      <c r="AL10" s="99"/>
      <c r="AM10" s="100"/>
      <c r="AN10" s="7"/>
      <c r="AO10" s="95"/>
      <c r="AP10" s="96"/>
      <c r="AQ10" s="111">
        <v>1</v>
      </c>
      <c r="AR10" s="112"/>
    </row>
    <row r="11" spans="2:44" ht="15" customHeight="1" thickBot="1" x14ac:dyDescent="0.25">
      <c r="B11" s="103"/>
      <c r="C11" s="104"/>
      <c r="D11" s="97"/>
      <c r="E11" s="98"/>
      <c r="F11" s="7"/>
      <c r="G11" s="105"/>
      <c r="H11" s="106"/>
      <c r="I11" s="97"/>
      <c r="J11" s="98"/>
      <c r="K11" s="7"/>
      <c r="L11" s="95"/>
      <c r="M11" s="96"/>
      <c r="N11" s="101">
        <v>1</v>
      </c>
      <c r="O11" s="102"/>
      <c r="P11" s="102">
        <v>1</v>
      </c>
      <c r="Q11" s="144"/>
      <c r="U11" s="8" t="str">
        <f t="shared" si="0"/>
        <v>00:00:00</v>
      </c>
      <c r="V11" s="8" t="str">
        <f t="shared" si="1"/>
        <v>00:00:00</v>
      </c>
      <c r="W11" s="33"/>
      <c r="X11" s="33">
        <f t="shared" si="2"/>
        <v>1</v>
      </c>
      <c r="Y11" s="33"/>
      <c r="Z11" s="116"/>
      <c r="AA11" s="117"/>
      <c r="AB11" s="118"/>
      <c r="AE11" s="103"/>
      <c r="AF11" s="104"/>
      <c r="AG11" s="97"/>
      <c r="AH11" s="98"/>
      <c r="AI11" s="7"/>
      <c r="AJ11" s="105"/>
      <c r="AK11" s="106"/>
      <c r="AL11" s="97"/>
      <c r="AM11" s="98"/>
      <c r="AN11" s="7"/>
      <c r="AO11" s="95"/>
      <c r="AP11" s="96"/>
      <c r="AQ11" s="101">
        <v>1</v>
      </c>
      <c r="AR11" s="102"/>
    </row>
    <row r="12" spans="2:44" ht="15" customHeight="1" thickBot="1" x14ac:dyDescent="0.25">
      <c r="B12" s="103"/>
      <c r="C12" s="104"/>
      <c r="D12" s="97"/>
      <c r="E12" s="98"/>
      <c r="F12" s="7"/>
      <c r="G12" s="105"/>
      <c r="H12" s="106"/>
      <c r="I12" s="97"/>
      <c r="J12" s="98"/>
      <c r="K12" s="7"/>
      <c r="L12" s="95"/>
      <c r="M12" s="96"/>
      <c r="N12" s="101">
        <v>1</v>
      </c>
      <c r="O12" s="102"/>
      <c r="P12" s="102">
        <v>1</v>
      </c>
      <c r="Q12" s="144"/>
      <c r="S12" s="8" t="s">
        <v>19</v>
      </c>
      <c r="U12" s="8" t="str">
        <f t="shared" si="0"/>
        <v>00:00:00</v>
      </c>
      <c r="V12" s="8" t="str">
        <f t="shared" si="1"/>
        <v>00:00:00</v>
      </c>
      <c r="W12" s="33"/>
      <c r="X12" s="33">
        <f t="shared" si="2"/>
        <v>1</v>
      </c>
      <c r="Y12" s="33"/>
      <c r="Z12" s="119"/>
      <c r="AA12" s="120"/>
      <c r="AB12" s="121"/>
      <c r="AE12" s="103"/>
      <c r="AF12" s="104"/>
      <c r="AG12" s="97"/>
      <c r="AH12" s="98"/>
      <c r="AI12" s="7"/>
      <c r="AJ12" s="105"/>
      <c r="AK12" s="106"/>
      <c r="AL12" s="97"/>
      <c r="AM12" s="98"/>
      <c r="AN12" s="7"/>
      <c r="AO12" s="95"/>
      <c r="AP12" s="96"/>
      <c r="AQ12" s="101">
        <v>1</v>
      </c>
      <c r="AR12" s="102"/>
    </row>
    <row r="13" spans="2:44" ht="15" customHeight="1" thickBot="1" x14ac:dyDescent="0.25">
      <c r="B13" s="103"/>
      <c r="C13" s="104"/>
      <c r="D13" s="97"/>
      <c r="E13" s="98"/>
      <c r="F13" s="7"/>
      <c r="G13" s="105"/>
      <c r="H13" s="106"/>
      <c r="I13" s="97"/>
      <c r="J13" s="98"/>
      <c r="K13" s="7"/>
      <c r="L13" s="95"/>
      <c r="M13" s="96"/>
      <c r="N13" s="101">
        <v>1</v>
      </c>
      <c r="O13" s="102"/>
      <c r="P13" s="102">
        <v>1</v>
      </c>
      <c r="Q13" s="144"/>
      <c r="S13" s="8" t="s">
        <v>10</v>
      </c>
      <c r="U13" s="8" t="str">
        <f t="shared" si="0"/>
        <v>00:00:00</v>
      </c>
      <c r="V13" s="8" t="str">
        <f t="shared" si="1"/>
        <v>00:00:00</v>
      </c>
      <c r="W13" s="33"/>
      <c r="X13" s="33">
        <f t="shared" si="2"/>
        <v>1</v>
      </c>
      <c r="Y13" s="33"/>
      <c r="AE13" s="103"/>
      <c r="AF13" s="104"/>
      <c r="AG13" s="97"/>
      <c r="AH13" s="98"/>
      <c r="AI13" s="7"/>
      <c r="AJ13" s="105"/>
      <c r="AK13" s="106"/>
      <c r="AL13" s="97"/>
      <c r="AM13" s="98"/>
      <c r="AN13" s="7"/>
      <c r="AO13" s="95"/>
      <c r="AP13" s="96"/>
      <c r="AQ13" s="101">
        <v>1</v>
      </c>
      <c r="AR13" s="102"/>
    </row>
    <row r="14" spans="2:44" ht="15" customHeight="1" thickTop="1" thickBot="1" x14ac:dyDescent="0.25">
      <c r="B14" s="103"/>
      <c r="C14" s="104"/>
      <c r="D14" s="97"/>
      <c r="E14" s="98"/>
      <c r="F14" s="7"/>
      <c r="G14" s="105"/>
      <c r="H14" s="106"/>
      <c r="I14" s="97"/>
      <c r="J14" s="98"/>
      <c r="K14" s="7"/>
      <c r="L14" s="95"/>
      <c r="M14" s="96"/>
      <c r="N14" s="101">
        <v>1</v>
      </c>
      <c r="O14" s="102"/>
      <c r="P14" s="102">
        <v>1</v>
      </c>
      <c r="Q14" s="144"/>
      <c r="S14" s="8" t="s">
        <v>11</v>
      </c>
      <c r="U14" s="8" t="str">
        <f t="shared" si="0"/>
        <v>00:00:00</v>
      </c>
      <c r="V14" s="8" t="str">
        <f t="shared" si="1"/>
        <v>00:00:00</v>
      </c>
      <c r="W14" s="33"/>
      <c r="X14" s="33">
        <f t="shared" si="2"/>
        <v>1</v>
      </c>
      <c r="Y14" s="33"/>
      <c r="Z14" s="156" t="s">
        <v>50</v>
      </c>
      <c r="AA14" s="157"/>
      <c r="AB14" s="158"/>
      <c r="AE14" s="103"/>
      <c r="AF14" s="104"/>
      <c r="AG14" s="97"/>
      <c r="AH14" s="98"/>
      <c r="AI14" s="7"/>
      <c r="AJ14" s="105"/>
      <c r="AK14" s="106"/>
      <c r="AL14" s="97"/>
      <c r="AM14" s="98"/>
      <c r="AN14" s="7"/>
      <c r="AO14" s="95"/>
      <c r="AP14" s="96"/>
      <c r="AQ14" s="101">
        <v>1</v>
      </c>
      <c r="AR14" s="102"/>
    </row>
    <row r="15" spans="2:44" ht="15" customHeight="1" thickBot="1" x14ac:dyDescent="0.25">
      <c r="B15" s="103"/>
      <c r="C15" s="104"/>
      <c r="D15" s="97"/>
      <c r="E15" s="98"/>
      <c r="F15" s="7"/>
      <c r="G15" s="105"/>
      <c r="H15" s="106"/>
      <c r="I15" s="97"/>
      <c r="J15" s="98"/>
      <c r="K15" s="7"/>
      <c r="L15" s="95"/>
      <c r="M15" s="96"/>
      <c r="N15" s="101">
        <v>1</v>
      </c>
      <c r="O15" s="102"/>
      <c r="P15" s="102">
        <v>1</v>
      </c>
      <c r="Q15" s="144"/>
      <c r="S15" s="8" t="s">
        <v>12</v>
      </c>
      <c r="U15" s="8" t="str">
        <f t="shared" si="0"/>
        <v>00:00:00</v>
      </c>
      <c r="V15" s="8" t="str">
        <f t="shared" si="1"/>
        <v>00:00:00</v>
      </c>
      <c r="W15" s="33"/>
      <c r="X15" s="33">
        <f t="shared" si="2"/>
        <v>1</v>
      </c>
      <c r="Y15" s="33"/>
      <c r="Z15" s="159"/>
      <c r="AA15" s="160"/>
      <c r="AB15" s="161"/>
      <c r="AE15" s="103"/>
      <c r="AF15" s="104"/>
      <c r="AG15" s="97"/>
      <c r="AH15" s="98"/>
      <c r="AI15" s="7"/>
      <c r="AJ15" s="105"/>
      <c r="AK15" s="106"/>
      <c r="AL15" s="97"/>
      <c r="AM15" s="98"/>
      <c r="AN15" s="7"/>
      <c r="AO15" s="95"/>
      <c r="AP15" s="96"/>
      <c r="AQ15" s="101">
        <v>1</v>
      </c>
      <c r="AR15" s="102"/>
    </row>
    <row r="16" spans="2:44" ht="15" customHeight="1" thickBot="1" x14ac:dyDescent="0.25">
      <c r="B16" s="103"/>
      <c r="C16" s="104"/>
      <c r="D16" s="97"/>
      <c r="E16" s="98"/>
      <c r="F16" s="7"/>
      <c r="G16" s="105"/>
      <c r="H16" s="106"/>
      <c r="I16" s="97"/>
      <c r="J16" s="98"/>
      <c r="K16" s="7"/>
      <c r="L16" s="95"/>
      <c r="M16" s="96"/>
      <c r="N16" s="101">
        <v>1</v>
      </c>
      <c r="O16" s="102"/>
      <c r="P16" s="102">
        <v>1</v>
      </c>
      <c r="Q16" s="144"/>
      <c r="S16" s="8" t="s">
        <v>13</v>
      </c>
      <c r="U16" s="8" t="str">
        <f t="shared" si="0"/>
        <v>00:00:00</v>
      </c>
      <c r="V16" s="8" t="str">
        <f t="shared" si="1"/>
        <v>00:00:00</v>
      </c>
      <c r="W16" s="33"/>
      <c r="X16" s="33">
        <f t="shared" si="2"/>
        <v>1</v>
      </c>
      <c r="Y16" s="33"/>
      <c r="Z16" s="159"/>
      <c r="AA16" s="160"/>
      <c r="AB16" s="161"/>
      <c r="AE16" s="103"/>
      <c r="AF16" s="104"/>
      <c r="AG16" s="97"/>
      <c r="AH16" s="98"/>
      <c r="AI16" s="7"/>
      <c r="AJ16" s="105"/>
      <c r="AK16" s="106"/>
      <c r="AL16" s="97"/>
      <c r="AM16" s="98"/>
      <c r="AN16" s="7"/>
      <c r="AO16" s="95"/>
      <c r="AP16" s="96"/>
      <c r="AQ16" s="101">
        <v>1</v>
      </c>
      <c r="AR16" s="102"/>
    </row>
    <row r="17" spans="2:44" ht="15" customHeight="1" thickBot="1" x14ac:dyDescent="0.25">
      <c r="B17" s="103"/>
      <c r="C17" s="104"/>
      <c r="D17" s="97"/>
      <c r="E17" s="98"/>
      <c r="F17" s="7"/>
      <c r="G17" s="105"/>
      <c r="H17" s="106"/>
      <c r="I17" s="97"/>
      <c r="J17" s="98"/>
      <c r="K17" s="7"/>
      <c r="L17" s="95"/>
      <c r="M17" s="96"/>
      <c r="N17" s="101">
        <v>1</v>
      </c>
      <c r="O17" s="102"/>
      <c r="P17" s="102">
        <v>1</v>
      </c>
      <c r="Q17" s="144"/>
      <c r="S17" s="8" t="s">
        <v>14</v>
      </c>
      <c r="U17" s="8" t="str">
        <f t="shared" si="0"/>
        <v>00:00:00</v>
      </c>
      <c r="V17" s="8" t="str">
        <f t="shared" si="1"/>
        <v>00:00:00</v>
      </c>
      <c r="W17" s="33"/>
      <c r="X17" s="33">
        <f t="shared" si="2"/>
        <v>1</v>
      </c>
      <c r="Y17" s="33"/>
      <c r="Z17" s="159"/>
      <c r="AA17" s="160"/>
      <c r="AB17" s="161"/>
      <c r="AE17" s="103"/>
      <c r="AF17" s="104"/>
      <c r="AG17" s="97"/>
      <c r="AH17" s="98"/>
      <c r="AI17" s="7"/>
      <c r="AJ17" s="105"/>
      <c r="AK17" s="106"/>
      <c r="AL17" s="97"/>
      <c r="AM17" s="98"/>
      <c r="AN17" s="7"/>
      <c r="AO17" s="95"/>
      <c r="AP17" s="96"/>
      <c r="AQ17" s="101">
        <v>1</v>
      </c>
      <c r="AR17" s="102"/>
    </row>
    <row r="18" spans="2:44" ht="15" customHeight="1" thickBot="1" x14ac:dyDescent="0.25">
      <c r="B18" s="103"/>
      <c r="C18" s="104"/>
      <c r="D18" s="97"/>
      <c r="E18" s="98"/>
      <c r="F18" s="7"/>
      <c r="G18" s="105"/>
      <c r="H18" s="106"/>
      <c r="I18" s="97"/>
      <c r="J18" s="98"/>
      <c r="K18" s="7"/>
      <c r="L18" s="95"/>
      <c r="M18" s="96"/>
      <c r="N18" s="101">
        <v>1</v>
      </c>
      <c r="O18" s="102"/>
      <c r="P18" s="102">
        <v>1</v>
      </c>
      <c r="Q18" s="144"/>
      <c r="U18" s="8" t="str">
        <f t="shared" si="0"/>
        <v>00:00:00</v>
      </c>
      <c r="V18" s="8" t="str">
        <f t="shared" si="1"/>
        <v>00:00:00</v>
      </c>
      <c r="W18" s="33"/>
      <c r="X18" s="33">
        <f t="shared" si="2"/>
        <v>1</v>
      </c>
      <c r="Y18" s="33"/>
      <c r="Z18" s="159"/>
      <c r="AA18" s="160"/>
      <c r="AB18" s="161"/>
      <c r="AE18" s="103"/>
      <c r="AF18" s="104"/>
      <c r="AG18" s="97"/>
      <c r="AH18" s="98"/>
      <c r="AI18" s="7"/>
      <c r="AJ18" s="105"/>
      <c r="AK18" s="106"/>
      <c r="AL18" s="97"/>
      <c r="AM18" s="98"/>
      <c r="AN18" s="7"/>
      <c r="AO18" s="95"/>
      <c r="AP18" s="96"/>
      <c r="AQ18" s="101">
        <v>1</v>
      </c>
      <c r="AR18" s="102"/>
    </row>
    <row r="19" spans="2:44" ht="15" customHeight="1" thickBot="1" x14ac:dyDescent="0.25">
      <c r="B19" s="103"/>
      <c r="C19" s="104"/>
      <c r="D19" s="97"/>
      <c r="E19" s="98"/>
      <c r="F19" s="7"/>
      <c r="G19" s="105"/>
      <c r="H19" s="106"/>
      <c r="I19" s="107"/>
      <c r="J19" s="108"/>
      <c r="K19" s="7"/>
      <c r="L19" s="95"/>
      <c r="M19" s="96"/>
      <c r="N19" s="109">
        <v>1</v>
      </c>
      <c r="O19" s="110"/>
      <c r="P19" s="110">
        <v>1</v>
      </c>
      <c r="Q19" s="155"/>
      <c r="U19" s="8" t="str">
        <f t="shared" si="0"/>
        <v>00:00:00</v>
      </c>
      <c r="V19" s="8" t="str">
        <f t="shared" si="1"/>
        <v>00:00:00</v>
      </c>
      <c r="W19" s="33"/>
      <c r="X19" s="33">
        <f t="shared" si="2"/>
        <v>1</v>
      </c>
      <c r="Y19" s="33"/>
      <c r="Z19" s="162"/>
      <c r="AA19" s="163"/>
      <c r="AB19" s="164"/>
      <c r="AE19" s="103"/>
      <c r="AF19" s="104"/>
      <c r="AG19" s="97"/>
      <c r="AH19" s="98"/>
      <c r="AI19" s="7"/>
      <c r="AJ19" s="105"/>
      <c r="AK19" s="106"/>
      <c r="AL19" s="107"/>
      <c r="AM19" s="108"/>
      <c r="AN19" s="7"/>
      <c r="AO19" s="95"/>
      <c r="AP19" s="96"/>
      <c r="AQ19" s="109">
        <v>1</v>
      </c>
      <c r="AR19" s="110"/>
    </row>
    <row r="20" spans="2:44" ht="15" customHeight="1" thickTop="1" thickBot="1" x14ac:dyDescent="0.3">
      <c r="B20" s="165"/>
      <c r="C20" s="166"/>
      <c r="D20" s="166"/>
      <c r="E20" s="16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7"/>
      <c r="S20" s="8" cm="1">
        <f t="array" ref="S20">IF(S6&gt;0,IF(AND(S6=Y20,B10:O19=AE10:AR19),1,0),0)</f>
        <v>0</v>
      </c>
      <c r="Y20" s="8">
        <f>SUM(Y10:Y19)</f>
        <v>0</v>
      </c>
    </row>
    <row r="21" spans="2:44" ht="30" customHeight="1" thickTop="1" thickBot="1" x14ac:dyDescent="0.3">
      <c r="B21" s="200" t="s">
        <v>7</v>
      </c>
      <c r="C21" s="201"/>
      <c r="D21" s="201"/>
      <c r="E21" s="201"/>
      <c r="F21" s="201"/>
      <c r="G21" s="201"/>
      <c r="H21" s="201"/>
      <c r="I21" s="201"/>
      <c r="J21" s="201"/>
      <c r="K21" s="201"/>
      <c r="L21" s="201"/>
      <c r="M21" s="94"/>
      <c r="N21" s="201"/>
      <c r="O21" s="201"/>
      <c r="P21" s="201"/>
      <c r="Q21" s="94"/>
      <c r="S21" s="8">
        <v>1</v>
      </c>
    </row>
    <row r="22" spans="2:44" ht="15.75" customHeight="1" thickTop="1" thickBot="1" x14ac:dyDescent="0.3">
      <c r="B22" s="168" t="s">
        <v>20</v>
      </c>
      <c r="C22" s="169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3"/>
      <c r="S22" s="8" t="s">
        <v>48</v>
      </c>
      <c r="T22" s="16"/>
      <c r="U22" s="16"/>
      <c r="V22" s="16"/>
      <c r="W22" s="16"/>
      <c r="X22" s="16"/>
      <c r="Y22" s="16"/>
    </row>
    <row r="23" spans="2:44" ht="15.75" customHeight="1" thickBot="1" x14ac:dyDescent="0.3">
      <c r="B23" s="170"/>
      <c r="C23" s="171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5"/>
      <c r="S23" s="35" t="s">
        <v>32</v>
      </c>
      <c r="T23" s="16"/>
      <c r="U23" s="16" t="s">
        <v>2</v>
      </c>
      <c r="V23" s="16"/>
      <c r="W23" s="16"/>
      <c r="X23" s="16"/>
      <c r="Y23" s="16"/>
    </row>
    <row r="24" spans="2:44" ht="15" customHeight="1" thickBot="1" x14ac:dyDescent="0.3">
      <c r="B24" s="170"/>
      <c r="C24" s="171"/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5"/>
      <c r="S24" s="35" t="s">
        <v>49</v>
      </c>
      <c r="T24" s="16"/>
      <c r="U24" s="16" t="s">
        <v>28</v>
      </c>
      <c r="V24" s="16"/>
      <c r="W24" s="16"/>
      <c r="X24" s="16"/>
      <c r="Y24" s="16"/>
    </row>
    <row r="25" spans="2:44" ht="15.75" customHeight="1" x14ac:dyDescent="0.25">
      <c r="B25" s="182" t="s">
        <v>21</v>
      </c>
      <c r="C25" s="183"/>
      <c r="D25" s="188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90"/>
      <c r="R25" s="6"/>
      <c r="S25" s="15"/>
      <c r="T25" s="16"/>
      <c r="U25" s="16"/>
      <c r="V25" s="16"/>
      <c r="W25" s="16"/>
      <c r="X25" s="16"/>
      <c r="Y25" s="16"/>
    </row>
    <row r="26" spans="2:44" ht="15.75" customHeight="1" x14ac:dyDescent="0.25">
      <c r="B26" s="184"/>
      <c r="C26" s="185"/>
      <c r="D26" s="191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3"/>
      <c r="R26" s="6"/>
      <c r="S26" s="15"/>
      <c r="T26" s="16"/>
      <c r="U26" s="16"/>
      <c r="V26" s="16"/>
      <c r="W26" s="16"/>
      <c r="X26" s="16"/>
      <c r="Y26" s="16"/>
      <c r="Z26" s="154"/>
      <c r="AA26" s="154"/>
      <c r="AB26" s="154"/>
    </row>
    <row r="27" spans="2:44" ht="15" customHeight="1" x14ac:dyDescent="0.25">
      <c r="B27" s="184"/>
      <c r="C27" s="185"/>
      <c r="D27" s="191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3"/>
      <c r="R27" s="6"/>
      <c r="S27" s="15"/>
      <c r="T27" s="16"/>
      <c r="U27" s="16"/>
      <c r="V27" s="16"/>
      <c r="W27" s="16"/>
      <c r="X27" s="16"/>
      <c r="Y27" s="16"/>
      <c r="Z27" s="154"/>
      <c r="AA27" s="154"/>
      <c r="AB27" s="154"/>
    </row>
    <row r="28" spans="2:44" ht="15" customHeight="1" x14ac:dyDescent="0.25">
      <c r="B28" s="184"/>
      <c r="C28" s="185"/>
      <c r="D28" s="191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3"/>
      <c r="R28" s="6"/>
      <c r="S28" s="15">
        <v>0</v>
      </c>
      <c r="T28" s="16"/>
      <c r="U28" s="16"/>
      <c r="V28" s="16"/>
      <c r="W28" s="16"/>
      <c r="X28" s="16"/>
      <c r="Y28" s="16"/>
      <c r="Z28" s="154"/>
      <c r="AA28" s="154"/>
      <c r="AB28" s="154"/>
    </row>
    <row r="29" spans="2:44" ht="15" customHeight="1" thickBot="1" x14ac:dyDescent="0.3">
      <c r="B29" s="186"/>
      <c r="C29" s="187"/>
      <c r="D29" s="194"/>
      <c r="E29" s="195"/>
      <c r="F29" s="195"/>
      <c r="G29" s="195"/>
      <c r="H29" s="195"/>
      <c r="I29" s="195"/>
      <c r="J29" s="195"/>
      <c r="K29" s="195"/>
      <c r="L29" s="195"/>
      <c r="M29" s="195"/>
      <c r="N29" s="195"/>
      <c r="O29" s="195"/>
      <c r="P29" s="195"/>
      <c r="Q29" s="196"/>
      <c r="R29" s="6"/>
      <c r="S29" s="15"/>
      <c r="T29" s="16"/>
      <c r="U29" s="16"/>
      <c r="V29" s="16"/>
      <c r="W29" s="16"/>
      <c r="X29" s="16"/>
      <c r="Y29" s="16"/>
    </row>
    <row r="30" spans="2:44" ht="15" customHeight="1" thickBot="1" x14ac:dyDescent="0.3">
      <c r="B30" s="170" t="s">
        <v>22</v>
      </c>
      <c r="C30" s="171"/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9"/>
      <c r="R30" s="6"/>
      <c r="S30" s="16">
        <f>IF(D22=D59,1,0)</f>
        <v>1</v>
      </c>
      <c r="T30" s="16"/>
      <c r="U30" s="16"/>
      <c r="V30" s="16"/>
      <c r="W30" s="16"/>
      <c r="X30" s="16"/>
      <c r="Y30" s="16"/>
    </row>
    <row r="31" spans="2:44" ht="15" customHeight="1" thickBot="1" x14ac:dyDescent="0.3">
      <c r="B31" s="170"/>
      <c r="C31" s="171"/>
      <c r="D31" s="178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9"/>
      <c r="R31" s="6"/>
      <c r="S31" s="16">
        <f>IF(D25=D61,1,0)</f>
        <v>1</v>
      </c>
      <c r="T31" s="16"/>
      <c r="U31" s="16"/>
      <c r="V31" s="16"/>
      <c r="W31" s="16"/>
      <c r="X31" s="16"/>
      <c r="Y31" s="16"/>
    </row>
    <row r="32" spans="2:44" ht="15" customHeight="1" thickBot="1" x14ac:dyDescent="0.3">
      <c r="B32" s="170"/>
      <c r="C32" s="171"/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9"/>
      <c r="S32" s="16">
        <f>IF(D30=D63,1,0)</f>
        <v>1</v>
      </c>
      <c r="T32" s="16"/>
      <c r="U32" s="16"/>
      <c r="V32" s="16"/>
      <c r="W32" s="16"/>
      <c r="X32" s="16"/>
      <c r="Y32" s="16"/>
    </row>
    <row r="33" spans="2:28" ht="15" customHeight="1" thickBot="1" x14ac:dyDescent="0.25">
      <c r="B33" s="170"/>
      <c r="C33" s="171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9"/>
      <c r="S33" s="16">
        <f>IF(AND(S28=1,S30=1,S31=1,S32=1),1,0)</f>
        <v>0</v>
      </c>
      <c r="T33" s="16"/>
      <c r="U33" s="16"/>
      <c r="V33" s="16"/>
      <c r="W33" s="16"/>
      <c r="X33" s="16"/>
      <c r="Y33" s="16"/>
      <c r="Z33" s="3"/>
    </row>
    <row r="34" spans="2:28" ht="15" customHeight="1" thickTop="1" thickBot="1" x14ac:dyDescent="0.3">
      <c r="B34" s="170"/>
      <c r="C34" s="171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9"/>
      <c r="S34" s="16">
        <f>IF(AND(S28=1,S30=1,S31=1,S32=1,F41=S36,F43=S37),1,0)</f>
        <v>0</v>
      </c>
      <c r="T34" s="16"/>
      <c r="U34" s="16"/>
      <c r="V34" s="16"/>
      <c r="W34" s="16"/>
      <c r="X34" s="16"/>
      <c r="Y34" s="16"/>
      <c r="Z34" s="113" t="s">
        <v>26</v>
      </c>
      <c r="AA34" s="114"/>
      <c r="AB34" s="115"/>
    </row>
    <row r="35" spans="2:28" ht="15" customHeight="1" thickBot="1" x14ac:dyDescent="0.3">
      <c r="B35" s="170"/>
      <c r="C35" s="171"/>
      <c r="D35" s="178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9"/>
      <c r="S35" s="16"/>
      <c r="T35" s="16"/>
      <c r="U35" s="16"/>
      <c r="V35" s="16"/>
      <c r="W35" s="16"/>
      <c r="X35" s="16"/>
      <c r="Y35" s="16"/>
      <c r="Z35" s="116"/>
      <c r="AA35" s="117"/>
      <c r="AB35" s="118"/>
    </row>
    <row r="36" spans="2:28" ht="15" customHeight="1" thickBot="1" x14ac:dyDescent="0.3">
      <c r="B36" s="170"/>
      <c r="C36" s="171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9"/>
      <c r="S36" s="36"/>
      <c r="T36" s="16"/>
      <c r="U36" s="16"/>
      <c r="V36" s="16"/>
      <c r="W36" s="16"/>
      <c r="X36" s="16"/>
      <c r="Y36" s="16"/>
      <c r="Z36" s="119"/>
      <c r="AA36" s="120"/>
      <c r="AB36" s="121"/>
    </row>
    <row r="37" spans="2:28" ht="15.75" customHeight="1" thickBot="1" x14ac:dyDescent="0.3">
      <c r="B37" s="176"/>
      <c r="C37" s="177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1"/>
      <c r="S37" s="16"/>
      <c r="T37" s="16"/>
      <c r="U37" s="16"/>
      <c r="V37" s="16"/>
      <c r="W37" s="16"/>
      <c r="X37" s="16"/>
      <c r="Y37" s="16"/>
    </row>
    <row r="38" spans="2:28" ht="15" customHeight="1" thickTop="1" thickBot="1" x14ac:dyDescent="0.3">
      <c r="B38" s="197"/>
      <c r="C38" s="198"/>
      <c r="D38" s="198"/>
      <c r="E38" s="198"/>
      <c r="F38" s="198"/>
      <c r="G38" s="198"/>
      <c r="H38" s="198"/>
      <c r="I38" s="198"/>
      <c r="J38" s="198"/>
      <c r="K38" s="198"/>
      <c r="L38" s="198"/>
      <c r="M38" s="198"/>
      <c r="N38" s="198"/>
      <c r="O38" s="198"/>
      <c r="P38" s="198"/>
      <c r="Q38" s="199"/>
      <c r="U38" s="8">
        <v>403</v>
      </c>
      <c r="Z38" s="22" t="s">
        <v>50</v>
      </c>
      <c r="AA38" s="23"/>
      <c r="AB38" s="24"/>
    </row>
    <row r="39" spans="2:28" ht="30" customHeight="1" thickTop="1" thickBot="1" x14ac:dyDescent="0.3">
      <c r="B39" s="200" t="s">
        <v>23</v>
      </c>
      <c r="C39" s="201"/>
      <c r="D39" s="201"/>
      <c r="E39" s="201"/>
      <c r="F39" s="201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94"/>
      <c r="U39" s="8">
        <v>403</v>
      </c>
      <c r="Z39" s="25"/>
      <c r="AA39"/>
      <c r="AB39" s="26"/>
    </row>
    <row r="40" spans="2:28" ht="15" customHeight="1" thickTop="1" thickBot="1" x14ac:dyDescent="0.3">
      <c r="B40" s="71" t="s">
        <v>24</v>
      </c>
      <c r="C40" s="72"/>
      <c r="D40" s="72"/>
      <c r="E40" s="73"/>
      <c r="F40" s="91" t="s">
        <v>29</v>
      </c>
      <c r="G40" s="92"/>
      <c r="H40" s="92"/>
      <c r="I40" s="92"/>
      <c r="J40" s="92"/>
      <c r="K40" s="93"/>
      <c r="L40" s="77" t="s">
        <v>54</v>
      </c>
      <c r="M40" s="78"/>
      <c r="N40" s="79"/>
      <c r="O40" s="202" t="s">
        <v>53</v>
      </c>
      <c r="P40" s="203"/>
      <c r="Q40" s="204"/>
      <c r="T40" s="33"/>
      <c r="U40" s="33"/>
      <c r="Z40" s="25"/>
      <c r="AA40"/>
      <c r="AB40" s="26"/>
    </row>
    <row r="41" spans="2:28" ht="15" customHeight="1" thickTop="1" thickBot="1" x14ac:dyDescent="0.3">
      <c r="B41" s="71"/>
      <c r="C41" s="72"/>
      <c r="D41" s="72"/>
      <c r="E41" s="73"/>
      <c r="F41" s="89"/>
      <c r="G41" s="89"/>
      <c r="H41" s="89"/>
      <c r="I41" s="89"/>
      <c r="J41" s="89"/>
      <c r="K41" s="32"/>
      <c r="L41" s="80"/>
      <c r="M41" s="81"/>
      <c r="N41" s="82"/>
      <c r="O41" s="205"/>
      <c r="P41" s="206"/>
      <c r="Q41" s="207"/>
      <c r="S41" s="8">
        <f ca="1">IF(AND(F41&lt;=W4,F41&lt;&gt;""),1,0)</f>
        <v>0</v>
      </c>
      <c r="T41" s="33"/>
      <c r="U41" s="31">
        <v>45103</v>
      </c>
      <c r="W41" s="8">
        <f>IF(F41&gt;=U41,1,0)</f>
        <v>0</v>
      </c>
      <c r="Z41" s="25"/>
      <c r="AA41"/>
      <c r="AB41" s="26"/>
    </row>
    <row r="42" spans="2:28" ht="15" customHeight="1" thickTop="1" thickBot="1" x14ac:dyDescent="0.3">
      <c r="B42" s="71" t="s">
        <v>25</v>
      </c>
      <c r="C42" s="72"/>
      <c r="D42" s="72"/>
      <c r="E42" s="73"/>
      <c r="F42" s="91" t="s">
        <v>30</v>
      </c>
      <c r="G42" s="92"/>
      <c r="H42" s="92"/>
      <c r="I42" s="92"/>
      <c r="J42" s="92"/>
      <c r="K42" s="94"/>
      <c r="L42" s="83"/>
      <c r="M42" s="84"/>
      <c r="N42" s="85"/>
      <c r="O42" s="208"/>
      <c r="P42" s="209"/>
      <c r="Q42" s="210"/>
      <c r="T42" s="33"/>
      <c r="Z42" s="25"/>
      <c r="AA42"/>
      <c r="AB42" s="26"/>
    </row>
    <row r="43" spans="2:28" ht="15" customHeight="1" thickTop="1" thickBot="1" x14ac:dyDescent="0.3">
      <c r="B43" s="71"/>
      <c r="C43" s="72"/>
      <c r="D43" s="72"/>
      <c r="E43" s="73"/>
      <c r="F43" s="90"/>
      <c r="G43" s="90"/>
      <c r="H43" s="90"/>
      <c r="I43" s="90"/>
      <c r="J43" s="90"/>
      <c r="K43" s="32"/>
      <c r="L43" s="86">
        <v>2</v>
      </c>
      <c r="M43" s="87"/>
      <c r="N43" s="88"/>
      <c r="O43" s="86">
        <v>1</v>
      </c>
      <c r="P43" s="87"/>
      <c r="Q43" s="88"/>
      <c r="S43" s="8">
        <f>IF(AND(F43&lt;&gt;"",F41&lt;&gt;""),IF(F41=W4,IF(F43&lt;=X6,1,0),1),0)</f>
        <v>0</v>
      </c>
      <c r="T43" s="8" t="str">
        <f>TEXT(F43,"hh:mm:ss")</f>
        <v>00:00:00</v>
      </c>
      <c r="U43" s="10">
        <f>P4</f>
        <v>0</v>
      </c>
      <c r="W43" s="8">
        <f>IF(W41=1,IF(F41=U41,IF(F43&gt;U43,1,0),IF(F43="",0,1)),0)</f>
        <v>0</v>
      </c>
      <c r="Z43" s="27"/>
      <c r="AA43" s="28"/>
      <c r="AB43" s="29"/>
    </row>
    <row r="44" spans="2:28" ht="15.75" customHeight="1" thickTop="1" x14ac:dyDescent="0.25"/>
    <row r="45" spans="2:28" ht="15" x14ac:dyDescent="0.25">
      <c r="S45" s="8">
        <v>1</v>
      </c>
      <c r="T45" s="8" t="str">
        <f>TEXT(P4,"hh:mm:ss")</f>
        <v>00:00:00</v>
      </c>
      <c r="Z45" s="21"/>
    </row>
    <row r="46" spans="2:28" x14ac:dyDescent="0.25">
      <c r="B46" s="154"/>
      <c r="C46" s="154"/>
      <c r="D46" s="154"/>
      <c r="E46" s="154"/>
      <c r="F46" s="154"/>
      <c r="G46" s="154"/>
      <c r="H46" s="154"/>
      <c r="I46" s="154"/>
      <c r="J46" s="154"/>
      <c r="K46" s="154"/>
      <c r="L46" s="154"/>
      <c r="M46" s="154"/>
      <c r="N46" s="154"/>
      <c r="O46" s="154"/>
      <c r="P46" s="154"/>
      <c r="Q46" s="154"/>
    </row>
    <row r="47" spans="2:28" x14ac:dyDescent="0.25">
      <c r="B47" s="4"/>
      <c r="S47" s="8" t="s">
        <v>236</v>
      </c>
      <c r="U47" s="8">
        <f>LEN(S47)</f>
        <v>38</v>
      </c>
    </row>
    <row r="48" spans="2:28" x14ac:dyDescent="0.25">
      <c r="B48" s="4"/>
      <c r="S48" s="9">
        <v>44986</v>
      </c>
      <c r="T48" s="9">
        <v>44915</v>
      </c>
      <c r="U48" s="8">
        <f ca="1">IF(AND(T48&lt;=W4,T48&lt;&gt;"",T48&gt;=W2),1,0)</f>
        <v>1</v>
      </c>
    </row>
    <row r="49" spans="2:22" x14ac:dyDescent="0.25">
      <c r="B49" s="4"/>
      <c r="S49" s="10">
        <v>0.625</v>
      </c>
      <c r="T49" s="10">
        <v>0.625</v>
      </c>
      <c r="U49" s="8">
        <f ca="1">IF(AND(U48&gt;0,T51&gt;=0,T51&lt;=1,T49&lt;&gt;""),IF(T48=W4,IF(T49&lt;=X6,1,0),IF(T49&lt;&gt;"",1,0)),0)</f>
        <v>1</v>
      </c>
      <c r="V49" s="8" t="str">
        <f>TEXT(T49,"hh:mm:ss")</f>
        <v>15:00:00</v>
      </c>
    </row>
    <row r="51" spans="2:22" x14ac:dyDescent="0.25">
      <c r="T51" s="10">
        <f>T49</f>
        <v>0.625</v>
      </c>
    </row>
    <row r="52" spans="2:22" x14ac:dyDescent="0.25">
      <c r="S52" s="8" t="str">
        <f>IF(U47&gt;40,LEFT(S47,40),S47)</f>
        <v>Integrar Controladores ao Supervisório</v>
      </c>
    </row>
    <row r="54" spans="2:22" x14ac:dyDescent="0.25">
      <c r="T54" s="8">
        <f ca="1">IF(S48&lt;=W4,1,0)</f>
        <v>1</v>
      </c>
    </row>
    <row r="55" spans="2:22" x14ac:dyDescent="0.25">
      <c r="Q55" s="30"/>
      <c r="T55" s="8">
        <f ca="1">IF(T54=1,IF(S48=W4,IF(S49&lt;X6,1,0),1),0)</f>
        <v>1</v>
      </c>
      <c r="U55" s="8" t="str">
        <f>TEXT(S49,"hh:mm:ss")</f>
        <v>15:00:00</v>
      </c>
    </row>
    <row r="56" spans="2:22" x14ac:dyDescent="0.25">
      <c r="Q56" s="30"/>
    </row>
    <row r="59" spans="2:22" x14ac:dyDescent="0.25">
      <c r="D59" s="13"/>
      <c r="E59" s="13"/>
      <c r="F59" s="13"/>
      <c r="G59" s="13"/>
      <c r="H59" s="13"/>
      <c r="I59" s="13"/>
      <c r="J59" s="8"/>
      <c r="K59" s="8"/>
      <c r="L59" s="8"/>
      <c r="M59" s="8"/>
      <c r="N59" s="8"/>
      <c r="S59" s="13"/>
    </row>
    <row r="60" spans="2:22" x14ac:dyDescent="0.25">
      <c r="D60" s="13"/>
      <c r="E60" s="13"/>
      <c r="F60" s="13"/>
      <c r="G60" s="13"/>
      <c r="H60" s="13"/>
      <c r="I60" s="13"/>
      <c r="J60" s="8"/>
      <c r="K60" s="8"/>
      <c r="L60" s="8"/>
      <c r="M60" s="8"/>
      <c r="N60" s="8"/>
      <c r="S60" s="13"/>
    </row>
    <row r="61" spans="2:22" x14ac:dyDescent="0.25">
      <c r="D61" s="13"/>
      <c r="E61" s="13"/>
      <c r="F61" s="13"/>
      <c r="G61" s="13"/>
      <c r="H61" s="13"/>
      <c r="I61" s="13"/>
      <c r="J61" s="8"/>
      <c r="K61" s="8"/>
      <c r="L61" s="8"/>
      <c r="M61" s="8"/>
      <c r="N61" s="8"/>
      <c r="S61" s="15"/>
    </row>
    <row r="62" spans="2:22" x14ac:dyDescent="0.25">
      <c r="D62" s="13"/>
      <c r="E62" s="13"/>
      <c r="F62" s="13"/>
      <c r="G62" s="13"/>
      <c r="H62" s="13"/>
      <c r="I62" s="13"/>
      <c r="J62" s="8"/>
      <c r="K62" s="8"/>
      <c r="L62" s="8"/>
      <c r="M62" s="8"/>
      <c r="N62" s="8"/>
      <c r="S62" s="41"/>
    </row>
    <row r="63" spans="2:22" x14ac:dyDescent="0.25">
      <c r="D63" s="15"/>
      <c r="E63" s="13"/>
      <c r="F63" s="13"/>
      <c r="G63" s="13"/>
      <c r="H63" s="13"/>
      <c r="I63" s="13"/>
      <c r="J63" s="8"/>
      <c r="K63" s="8"/>
      <c r="L63" s="8"/>
      <c r="M63" s="8"/>
      <c r="N63" s="8"/>
      <c r="S63" s="15"/>
    </row>
    <row r="64" spans="2:22" x14ac:dyDescent="0.25">
      <c r="D64" s="4"/>
      <c r="E64" s="4"/>
      <c r="F64" s="4"/>
      <c r="G64" s="4"/>
      <c r="H64" s="4"/>
      <c r="I64" s="4"/>
      <c r="S64" s="14"/>
    </row>
    <row r="65" spans="2:19" x14ac:dyDescent="0.25">
      <c r="D65" s="4"/>
      <c r="E65" s="4"/>
      <c r="F65" s="4"/>
      <c r="G65" s="4"/>
      <c r="H65" s="4"/>
      <c r="I65" s="4"/>
      <c r="S65" s="14"/>
    </row>
    <row r="66" spans="2:19" x14ac:dyDescent="0.25">
      <c r="D66" s="4"/>
      <c r="E66" s="4"/>
      <c r="F66" s="4"/>
      <c r="G66" s="4"/>
      <c r="H66" s="4"/>
      <c r="I66" s="4"/>
      <c r="S66" s="14"/>
    </row>
    <row r="67" spans="2:19" x14ac:dyDescent="0.25">
      <c r="D67" s="4"/>
      <c r="E67" s="4"/>
      <c r="F67" s="4"/>
      <c r="G67" s="4"/>
      <c r="H67" s="4"/>
      <c r="I67" s="4"/>
      <c r="S67" s="14"/>
    </row>
    <row r="68" spans="2:19" x14ac:dyDescent="0.25">
      <c r="D68" s="4"/>
      <c r="E68" s="4"/>
      <c r="F68" s="4"/>
      <c r="G68" s="4"/>
      <c r="H68" s="4"/>
      <c r="I68" s="4"/>
      <c r="S68" s="14"/>
    </row>
    <row r="69" spans="2:19" x14ac:dyDescent="0.25">
      <c r="D69" s="4"/>
      <c r="E69" s="4"/>
      <c r="F69" s="4"/>
      <c r="G69" s="4"/>
      <c r="H69" s="4"/>
      <c r="I69" s="4"/>
      <c r="S69" s="14"/>
    </row>
    <row r="70" spans="2:19" x14ac:dyDescent="0.25">
      <c r="B70" s="12" t="s">
        <v>33</v>
      </c>
      <c r="C70" s="13"/>
      <c r="D70" s="4"/>
      <c r="E70" s="4"/>
      <c r="F70" s="4"/>
      <c r="G70" s="4"/>
      <c r="H70" s="4"/>
      <c r="I70" s="4"/>
      <c r="S70" s="14"/>
    </row>
    <row r="71" spans="2:19" x14ac:dyDescent="0.25">
      <c r="B71" s="12" t="s">
        <v>33</v>
      </c>
      <c r="C71" s="13"/>
      <c r="D71" s="4"/>
      <c r="E71" s="4"/>
      <c r="F71" s="4"/>
      <c r="G71" s="4"/>
      <c r="H71" s="4"/>
      <c r="I71" s="4"/>
      <c r="S71" s="14"/>
    </row>
    <row r="72" spans="2:19" x14ac:dyDescent="0.25">
      <c r="B72" s="12" t="s">
        <v>33</v>
      </c>
      <c r="C72" s="13"/>
      <c r="S72" s="15"/>
    </row>
    <row r="73" spans="2:19" x14ac:dyDescent="0.25">
      <c r="B73" s="12" t="s">
        <v>33</v>
      </c>
      <c r="C73" s="13"/>
      <c r="S73" s="41"/>
    </row>
    <row r="74" spans="2:19" x14ac:dyDescent="0.25">
      <c r="B74" s="14" t="s">
        <v>33</v>
      </c>
      <c r="C74" s="13"/>
      <c r="D74" s="39"/>
      <c r="S74" s="15"/>
    </row>
    <row r="75" spans="2:19" x14ac:dyDescent="0.25">
      <c r="B75" s="4" t="s">
        <v>33</v>
      </c>
      <c r="C75" s="4"/>
      <c r="S75" s="41"/>
    </row>
    <row r="76" spans="2:19" x14ac:dyDescent="0.25">
      <c r="B76" s="4"/>
      <c r="C76" s="4"/>
      <c r="S76" s="15"/>
    </row>
    <row r="77" spans="2:19" x14ac:dyDescent="0.25">
      <c r="B77" s="4"/>
      <c r="C77" s="4"/>
      <c r="S77" s="15"/>
    </row>
    <row r="78" spans="2:19" x14ac:dyDescent="0.25">
      <c r="B78" s="4"/>
      <c r="C78" s="4"/>
      <c r="S78" s="15"/>
    </row>
    <row r="79" spans="2:19" x14ac:dyDescent="0.25">
      <c r="B79" s="4"/>
      <c r="C79" s="4"/>
      <c r="S79" s="35"/>
    </row>
    <row r="80" spans="2:19" x14ac:dyDescent="0.25">
      <c r="B80" s="4"/>
      <c r="C80" s="4"/>
      <c r="S80" s="35"/>
    </row>
    <row r="81" spans="2:19" x14ac:dyDescent="0.25">
      <c r="B81" s="4"/>
      <c r="C81" s="4"/>
      <c r="S81" s="35"/>
    </row>
    <row r="82" spans="2:19" x14ac:dyDescent="0.25">
      <c r="B82" s="4"/>
      <c r="C82" s="4"/>
      <c r="S82" s="35"/>
    </row>
    <row r="83" spans="2:19" x14ac:dyDescent="0.25">
      <c r="S83" s="35"/>
    </row>
    <row r="84" spans="2:19" x14ac:dyDescent="0.25">
      <c r="S84" s="35"/>
    </row>
    <row r="85" spans="2:19" x14ac:dyDescent="0.25">
      <c r="S85" s="35"/>
    </row>
    <row r="86" spans="2:19" x14ac:dyDescent="0.25">
      <c r="S86" s="35"/>
    </row>
    <row r="87" spans="2:19" x14ac:dyDescent="0.25">
      <c r="S87" s="35"/>
    </row>
    <row r="88" spans="2:19" x14ac:dyDescent="0.25">
      <c r="S88" s="35"/>
    </row>
    <row r="89" spans="2:19" x14ac:dyDescent="0.25">
      <c r="S89" s="35"/>
    </row>
    <row r="90" spans="2:19" x14ac:dyDescent="0.25">
      <c r="S90" s="35"/>
    </row>
    <row r="91" spans="2:19" x14ac:dyDescent="0.25">
      <c r="S91" s="35"/>
    </row>
    <row r="92" spans="2:19" x14ac:dyDescent="0.25">
      <c r="S92" s="35"/>
    </row>
    <row r="93" spans="2:19" x14ac:dyDescent="0.25">
      <c r="S93" s="35"/>
    </row>
    <row r="94" spans="2:19" x14ac:dyDescent="0.25">
      <c r="S94" s="35"/>
    </row>
    <row r="95" spans="2:19" x14ac:dyDescent="0.25">
      <c r="S95" s="35"/>
    </row>
    <row r="96" spans="2:19" x14ac:dyDescent="0.25">
      <c r="S96" s="35"/>
    </row>
    <row r="97" spans="2:19" x14ac:dyDescent="0.25">
      <c r="S97" s="35"/>
    </row>
    <row r="98" spans="2:19" x14ac:dyDescent="0.25">
      <c r="S98" s="35"/>
    </row>
    <row r="99" spans="2:19" x14ac:dyDescent="0.25">
      <c r="S99" s="35"/>
    </row>
    <row r="100" spans="2:19" x14ac:dyDescent="0.25">
      <c r="B100" s="45" t="s">
        <v>73</v>
      </c>
      <c r="C100" s="45" t="s">
        <v>74</v>
      </c>
      <c r="D100" s="46" t="s">
        <v>75</v>
      </c>
      <c r="E100" s="46" t="s">
        <v>76</v>
      </c>
      <c r="S100" s="35"/>
    </row>
    <row r="101" spans="2:19" x14ac:dyDescent="0.2">
      <c r="B101" s="47">
        <v>502358</v>
      </c>
      <c r="C101" s="48" t="s">
        <v>77</v>
      </c>
      <c r="D101" s="49" t="s">
        <v>78</v>
      </c>
      <c r="E101" s="50">
        <v>3330</v>
      </c>
      <c r="S101" s="42"/>
    </row>
    <row r="102" spans="2:19" x14ac:dyDescent="0.2">
      <c r="B102" s="51">
        <v>500062</v>
      </c>
      <c r="C102" s="52" t="s">
        <v>79</v>
      </c>
      <c r="D102" s="53" t="s">
        <v>80</v>
      </c>
      <c r="E102" s="54">
        <v>3340</v>
      </c>
      <c r="S102" s="42"/>
    </row>
    <row r="103" spans="2:19" x14ac:dyDescent="0.2">
      <c r="B103" s="51">
        <v>503510</v>
      </c>
      <c r="C103" s="52" t="s">
        <v>81</v>
      </c>
      <c r="D103" s="53" t="s">
        <v>78</v>
      </c>
      <c r="E103" s="54">
        <v>3340</v>
      </c>
      <c r="S103" s="35"/>
    </row>
    <row r="104" spans="2:19" x14ac:dyDescent="0.2">
      <c r="B104" s="51">
        <v>500893</v>
      </c>
      <c r="C104" s="52" t="s">
        <v>82</v>
      </c>
      <c r="D104" s="53" t="s">
        <v>83</v>
      </c>
      <c r="E104" s="54">
        <v>3340</v>
      </c>
      <c r="S104" s="35"/>
    </row>
    <row r="105" spans="2:19" x14ac:dyDescent="0.2">
      <c r="B105" s="51">
        <v>501531</v>
      </c>
      <c r="C105" s="52" t="s">
        <v>127</v>
      </c>
      <c r="D105" s="53" t="s">
        <v>78</v>
      </c>
      <c r="E105" s="54">
        <v>3340</v>
      </c>
      <c r="S105" s="35"/>
    </row>
    <row r="106" spans="2:19" x14ac:dyDescent="0.2">
      <c r="B106" s="51">
        <v>501299</v>
      </c>
      <c r="C106" s="52" t="s">
        <v>84</v>
      </c>
      <c r="D106" s="53" t="s">
        <v>80</v>
      </c>
      <c r="E106" s="54">
        <v>3341</v>
      </c>
      <c r="S106" s="35"/>
    </row>
    <row r="107" spans="2:19" x14ac:dyDescent="0.2">
      <c r="B107" s="51">
        <v>501537</v>
      </c>
      <c r="C107" s="52" t="s">
        <v>128</v>
      </c>
      <c r="D107" s="53" t="s">
        <v>80</v>
      </c>
      <c r="E107" s="54">
        <v>3340</v>
      </c>
      <c r="H107" s="5" t="s">
        <v>145</v>
      </c>
      <c r="S107" s="35"/>
    </row>
    <row r="108" spans="2:19" x14ac:dyDescent="0.2">
      <c r="B108" s="55">
        <v>502791</v>
      </c>
      <c r="C108" s="52" t="s">
        <v>129</v>
      </c>
      <c r="D108" s="53" t="s">
        <v>78</v>
      </c>
      <c r="E108" s="54">
        <v>3340</v>
      </c>
      <c r="S108" s="35"/>
    </row>
    <row r="109" spans="2:19" x14ac:dyDescent="0.2">
      <c r="B109" s="51">
        <v>503306</v>
      </c>
      <c r="C109" s="52" t="s">
        <v>85</v>
      </c>
      <c r="D109" s="53" t="s">
        <v>83</v>
      </c>
      <c r="E109" s="54">
        <v>3341</v>
      </c>
      <c r="S109" s="35"/>
    </row>
    <row r="110" spans="2:19" x14ac:dyDescent="0.2">
      <c r="B110" s="51">
        <v>503379</v>
      </c>
      <c r="C110" s="52" t="s">
        <v>86</v>
      </c>
      <c r="D110" s="53" t="s">
        <v>80</v>
      </c>
      <c r="E110" s="54">
        <v>3341</v>
      </c>
      <c r="S110" s="35"/>
    </row>
    <row r="111" spans="2:19" x14ac:dyDescent="0.2">
      <c r="B111" s="51">
        <v>501109</v>
      </c>
      <c r="C111" s="52" t="s">
        <v>87</v>
      </c>
      <c r="D111" s="53" t="s">
        <v>78</v>
      </c>
      <c r="E111" s="54">
        <v>3341</v>
      </c>
      <c r="S111" s="35"/>
    </row>
    <row r="112" spans="2:19" x14ac:dyDescent="0.2">
      <c r="B112" s="55">
        <v>501448</v>
      </c>
      <c r="C112" s="52" t="s">
        <v>88</v>
      </c>
      <c r="D112" s="53" t="s">
        <v>78</v>
      </c>
      <c r="E112" s="54">
        <v>3340</v>
      </c>
      <c r="S112" s="35"/>
    </row>
    <row r="113" spans="2:19" x14ac:dyDescent="0.2">
      <c r="B113" s="51">
        <v>500024</v>
      </c>
      <c r="C113" s="52" t="s">
        <v>89</v>
      </c>
      <c r="D113" s="53" t="s">
        <v>78</v>
      </c>
      <c r="E113" s="54">
        <v>3340</v>
      </c>
      <c r="S113" s="35"/>
    </row>
    <row r="114" spans="2:19" x14ac:dyDescent="0.2">
      <c r="B114" s="51">
        <v>501301</v>
      </c>
      <c r="C114" s="52" t="s">
        <v>72</v>
      </c>
      <c r="D114" s="53" t="s">
        <v>78</v>
      </c>
      <c r="E114" s="54">
        <v>3340</v>
      </c>
      <c r="S114" s="35"/>
    </row>
    <row r="115" spans="2:19" x14ac:dyDescent="0.2">
      <c r="B115" s="51">
        <v>501302</v>
      </c>
      <c r="C115" s="52" t="s">
        <v>90</v>
      </c>
      <c r="D115" s="53" t="s">
        <v>78</v>
      </c>
      <c r="E115" s="54">
        <v>3340</v>
      </c>
      <c r="S115" s="35"/>
    </row>
    <row r="116" spans="2:19" x14ac:dyDescent="0.2">
      <c r="B116" s="51">
        <v>501550</v>
      </c>
      <c r="C116" s="48" t="s">
        <v>91</v>
      </c>
      <c r="D116" s="49" t="s">
        <v>78</v>
      </c>
      <c r="E116" s="50">
        <v>3330</v>
      </c>
      <c r="S116" s="35"/>
    </row>
    <row r="117" spans="2:19" x14ac:dyDescent="0.2">
      <c r="B117" s="51">
        <v>500659</v>
      </c>
      <c r="C117" s="52" t="s">
        <v>92</v>
      </c>
      <c r="D117" s="53" t="s">
        <v>93</v>
      </c>
      <c r="E117" s="54">
        <v>3340</v>
      </c>
      <c r="S117" s="35"/>
    </row>
    <row r="118" spans="2:19" x14ac:dyDescent="0.2">
      <c r="B118" s="51">
        <v>501479</v>
      </c>
      <c r="C118" s="48" t="s">
        <v>94</v>
      </c>
      <c r="D118" s="49" t="s">
        <v>78</v>
      </c>
      <c r="E118" s="50">
        <v>3330</v>
      </c>
      <c r="S118" s="35"/>
    </row>
    <row r="119" spans="2:19" x14ac:dyDescent="0.2">
      <c r="B119" s="51">
        <v>501673</v>
      </c>
      <c r="C119" s="52" t="s">
        <v>95</v>
      </c>
      <c r="D119" s="53" t="s">
        <v>78</v>
      </c>
      <c r="E119" s="54">
        <v>3340</v>
      </c>
      <c r="S119" s="35"/>
    </row>
    <row r="120" spans="2:19" x14ac:dyDescent="0.2">
      <c r="B120" s="51">
        <v>502271</v>
      </c>
      <c r="C120" s="52" t="s">
        <v>130</v>
      </c>
      <c r="D120" s="53" t="s">
        <v>78</v>
      </c>
      <c r="E120" s="54">
        <v>3340</v>
      </c>
      <c r="H120" s="5" t="s">
        <v>144</v>
      </c>
      <c r="S120" s="35"/>
    </row>
    <row r="121" spans="2:19" x14ac:dyDescent="0.2">
      <c r="B121" s="51">
        <v>503586</v>
      </c>
      <c r="C121" s="52" t="s">
        <v>96</v>
      </c>
      <c r="D121" s="53" t="s">
        <v>78</v>
      </c>
      <c r="E121" s="54">
        <v>3340</v>
      </c>
    </row>
    <row r="122" spans="2:19" x14ac:dyDescent="0.2">
      <c r="B122" s="51">
        <v>501937</v>
      </c>
      <c r="C122" s="52" t="s">
        <v>97</v>
      </c>
      <c r="D122" s="53" t="s">
        <v>80</v>
      </c>
      <c r="E122" s="54">
        <v>3340</v>
      </c>
    </row>
    <row r="123" spans="2:19" x14ac:dyDescent="0.2">
      <c r="B123" s="51">
        <v>500657</v>
      </c>
      <c r="C123" s="52" t="s">
        <v>98</v>
      </c>
      <c r="D123" s="53" t="s">
        <v>78</v>
      </c>
      <c r="E123" s="54">
        <v>3341</v>
      </c>
    </row>
    <row r="124" spans="2:19" x14ac:dyDescent="0.2">
      <c r="B124" s="51">
        <v>501576</v>
      </c>
      <c r="C124" s="52" t="s">
        <v>99</v>
      </c>
      <c r="D124" s="53" t="s">
        <v>78</v>
      </c>
      <c r="E124" s="54">
        <v>3341</v>
      </c>
    </row>
    <row r="125" spans="2:19" x14ac:dyDescent="0.2">
      <c r="B125" s="51">
        <v>500497</v>
      </c>
      <c r="C125" s="52" t="s">
        <v>100</v>
      </c>
      <c r="D125" s="53" t="s">
        <v>78</v>
      </c>
      <c r="E125" s="54">
        <v>3341</v>
      </c>
    </row>
    <row r="126" spans="2:19" x14ac:dyDescent="0.2">
      <c r="B126" s="51">
        <v>501489</v>
      </c>
      <c r="C126" s="52" t="s">
        <v>101</v>
      </c>
      <c r="D126" s="53" t="s">
        <v>80</v>
      </c>
      <c r="E126" s="54">
        <v>3340</v>
      </c>
    </row>
    <row r="127" spans="2:19" x14ac:dyDescent="0.2">
      <c r="B127" s="51">
        <v>502771</v>
      </c>
      <c r="C127" s="52" t="s">
        <v>102</v>
      </c>
      <c r="D127" s="53" t="s">
        <v>78</v>
      </c>
      <c r="E127" s="54">
        <v>3341</v>
      </c>
    </row>
    <row r="128" spans="2:19" x14ac:dyDescent="0.2">
      <c r="B128" s="51">
        <v>500617</v>
      </c>
      <c r="C128" s="52" t="s">
        <v>103</v>
      </c>
      <c r="D128" s="53" t="s">
        <v>93</v>
      </c>
      <c r="E128" s="54">
        <v>3340</v>
      </c>
    </row>
    <row r="129" spans="2:5" x14ac:dyDescent="0.2">
      <c r="B129" s="51">
        <v>500050</v>
      </c>
      <c r="C129" s="52" t="s">
        <v>104</v>
      </c>
      <c r="D129" s="53" t="s">
        <v>78</v>
      </c>
      <c r="E129" s="54">
        <v>3340</v>
      </c>
    </row>
    <row r="130" spans="2:5" x14ac:dyDescent="0.2">
      <c r="B130" s="51">
        <v>501304</v>
      </c>
      <c r="C130" s="52" t="s">
        <v>105</v>
      </c>
      <c r="D130" s="53" t="s">
        <v>83</v>
      </c>
      <c r="E130" s="54">
        <v>3340</v>
      </c>
    </row>
    <row r="131" spans="2:5" x14ac:dyDescent="0.2">
      <c r="B131" s="51">
        <v>500077</v>
      </c>
      <c r="C131" s="52" t="s">
        <v>131</v>
      </c>
      <c r="D131" s="53" t="s">
        <v>93</v>
      </c>
      <c r="E131" s="54">
        <v>3340</v>
      </c>
    </row>
    <row r="132" spans="2:5" x14ac:dyDescent="0.2">
      <c r="B132" s="51">
        <v>500653</v>
      </c>
      <c r="C132" s="52" t="s">
        <v>106</v>
      </c>
      <c r="D132" s="53" t="s">
        <v>80</v>
      </c>
      <c r="E132" s="54">
        <v>3340</v>
      </c>
    </row>
    <row r="133" spans="2:5" x14ac:dyDescent="0.2">
      <c r="B133" s="51">
        <v>500395</v>
      </c>
      <c r="C133" s="52" t="s">
        <v>107</v>
      </c>
      <c r="D133" s="53" t="s">
        <v>78</v>
      </c>
      <c r="E133" s="54">
        <v>3341</v>
      </c>
    </row>
    <row r="134" spans="2:5" x14ac:dyDescent="0.2">
      <c r="B134" s="51">
        <v>500333</v>
      </c>
      <c r="C134" s="48" t="s">
        <v>108</v>
      </c>
      <c r="D134" s="49" t="s">
        <v>78</v>
      </c>
      <c r="E134" s="50">
        <v>3330</v>
      </c>
    </row>
    <row r="135" spans="2:5" x14ac:dyDescent="0.2">
      <c r="B135" s="51">
        <v>500723</v>
      </c>
      <c r="C135" s="52" t="s">
        <v>109</v>
      </c>
      <c r="D135" s="53" t="s">
        <v>78</v>
      </c>
      <c r="E135" s="54">
        <v>3330</v>
      </c>
    </row>
    <row r="136" spans="2:5" x14ac:dyDescent="0.2">
      <c r="B136" s="51">
        <v>501903</v>
      </c>
      <c r="C136" s="52" t="s">
        <v>132</v>
      </c>
      <c r="D136" s="53" t="s">
        <v>83</v>
      </c>
      <c r="E136" s="54">
        <v>3341</v>
      </c>
    </row>
    <row r="137" spans="2:5" x14ac:dyDescent="0.2">
      <c r="B137" s="55">
        <v>500480</v>
      </c>
      <c r="C137" s="48" t="s">
        <v>110</v>
      </c>
      <c r="D137" s="49" t="s">
        <v>78</v>
      </c>
      <c r="E137" s="50">
        <v>3330</v>
      </c>
    </row>
    <row r="138" spans="2:5" x14ac:dyDescent="0.2">
      <c r="B138" s="51">
        <v>500824</v>
      </c>
      <c r="C138" s="52" t="s">
        <v>133</v>
      </c>
      <c r="D138" s="53" t="s">
        <v>78</v>
      </c>
      <c r="E138" s="54">
        <v>3340</v>
      </c>
    </row>
    <row r="139" spans="2:5" x14ac:dyDescent="0.2">
      <c r="B139" s="51">
        <v>500650</v>
      </c>
      <c r="C139" s="52" t="s">
        <v>111</v>
      </c>
      <c r="D139" s="53" t="s">
        <v>80</v>
      </c>
      <c r="E139" s="54">
        <v>3340</v>
      </c>
    </row>
    <row r="140" spans="2:5" x14ac:dyDescent="0.2">
      <c r="B140" s="51">
        <v>503573</v>
      </c>
      <c r="C140" s="52" t="s">
        <v>112</v>
      </c>
      <c r="D140" s="53" t="s">
        <v>78</v>
      </c>
      <c r="E140" s="54">
        <v>3340</v>
      </c>
    </row>
    <row r="141" spans="2:5" x14ac:dyDescent="0.2">
      <c r="B141" s="51">
        <v>503251</v>
      </c>
      <c r="C141" s="52" t="s">
        <v>113</v>
      </c>
      <c r="D141" s="53" t="s">
        <v>83</v>
      </c>
      <c r="E141" s="54">
        <v>3341</v>
      </c>
    </row>
    <row r="142" spans="2:5" x14ac:dyDescent="0.2">
      <c r="B142" s="51">
        <v>503159</v>
      </c>
      <c r="C142" s="52" t="s">
        <v>114</v>
      </c>
      <c r="D142" s="53" t="s">
        <v>78</v>
      </c>
      <c r="E142" s="54">
        <v>3340</v>
      </c>
    </row>
    <row r="143" spans="2:5" x14ac:dyDescent="0.2">
      <c r="B143" s="51">
        <v>500862</v>
      </c>
      <c r="C143" s="52" t="s">
        <v>115</v>
      </c>
      <c r="D143" s="53" t="s">
        <v>83</v>
      </c>
      <c r="E143" s="54">
        <v>3340</v>
      </c>
    </row>
    <row r="144" spans="2:5" x14ac:dyDescent="0.2">
      <c r="B144" s="51">
        <v>503370</v>
      </c>
      <c r="C144" s="52" t="s">
        <v>116</v>
      </c>
      <c r="D144" s="53" t="s">
        <v>83</v>
      </c>
      <c r="E144" s="54">
        <v>3341</v>
      </c>
    </row>
    <row r="145" spans="2:5" x14ac:dyDescent="0.2">
      <c r="B145" s="51">
        <v>502387</v>
      </c>
      <c r="C145" s="52" t="s">
        <v>117</v>
      </c>
      <c r="D145" s="53" t="s">
        <v>78</v>
      </c>
      <c r="E145" s="54">
        <v>3340</v>
      </c>
    </row>
    <row r="146" spans="2:5" x14ac:dyDescent="0.2">
      <c r="B146" s="51">
        <v>501722</v>
      </c>
      <c r="C146" s="52" t="s">
        <v>118</v>
      </c>
      <c r="D146" s="53" t="s">
        <v>83</v>
      </c>
      <c r="E146" s="54">
        <v>3340</v>
      </c>
    </row>
    <row r="147" spans="2:5" x14ac:dyDescent="0.2">
      <c r="B147" s="51">
        <v>502348</v>
      </c>
      <c r="C147" s="52" t="s">
        <v>119</v>
      </c>
      <c r="D147" s="53" t="s">
        <v>78</v>
      </c>
      <c r="E147" s="54">
        <v>3340</v>
      </c>
    </row>
    <row r="148" spans="2:5" x14ac:dyDescent="0.2">
      <c r="B148" s="51">
        <v>503659</v>
      </c>
      <c r="C148" s="52" t="s">
        <v>120</v>
      </c>
      <c r="D148" s="56" t="s">
        <v>78</v>
      </c>
      <c r="E148" s="54">
        <v>3341</v>
      </c>
    </row>
    <row r="149" spans="2:5" x14ac:dyDescent="0.2">
      <c r="B149" s="51">
        <v>501138</v>
      </c>
      <c r="C149" s="52" t="s">
        <v>121</v>
      </c>
      <c r="D149" s="53" t="s">
        <v>78</v>
      </c>
      <c r="E149" s="54">
        <v>3340</v>
      </c>
    </row>
    <row r="150" spans="2:5" x14ac:dyDescent="0.2">
      <c r="B150" s="51">
        <v>501192</v>
      </c>
      <c r="C150" s="52" t="s">
        <v>122</v>
      </c>
      <c r="D150" s="53" t="s">
        <v>78</v>
      </c>
      <c r="E150" s="54">
        <v>3340</v>
      </c>
    </row>
    <row r="151" spans="2:5" x14ac:dyDescent="0.2">
      <c r="B151" s="51">
        <v>501402</v>
      </c>
      <c r="C151" s="48" t="s">
        <v>123</v>
      </c>
      <c r="D151" s="49" t="s">
        <v>78</v>
      </c>
      <c r="E151" s="50">
        <v>3330</v>
      </c>
    </row>
    <row r="152" spans="2:5" x14ac:dyDescent="0.2">
      <c r="B152" s="51">
        <v>501893</v>
      </c>
      <c r="C152" s="52" t="s">
        <v>124</v>
      </c>
      <c r="D152" s="53" t="s">
        <v>83</v>
      </c>
      <c r="E152" s="54">
        <v>3340</v>
      </c>
    </row>
    <row r="153" spans="2:5" x14ac:dyDescent="0.2">
      <c r="B153" s="51">
        <v>502212</v>
      </c>
      <c r="C153" s="52" t="s">
        <v>125</v>
      </c>
      <c r="D153" s="53" t="s">
        <v>78</v>
      </c>
      <c r="E153" s="54">
        <v>3340</v>
      </c>
    </row>
    <row r="154" spans="2:5" x14ac:dyDescent="0.2">
      <c r="B154" s="51">
        <v>503513</v>
      </c>
      <c r="C154" s="52" t="s">
        <v>126</v>
      </c>
      <c r="D154" s="56" t="s">
        <v>78</v>
      </c>
      <c r="E154" s="57">
        <v>3340</v>
      </c>
    </row>
    <row r="155" spans="2:5" x14ac:dyDescent="0.2">
      <c r="B155" s="51">
        <v>503659</v>
      </c>
      <c r="C155" s="52" t="s">
        <v>120</v>
      </c>
      <c r="D155" s="56" t="s">
        <v>78</v>
      </c>
      <c r="E155" s="54">
        <v>3341</v>
      </c>
    </row>
    <row r="396" spans="4:9" x14ac:dyDescent="0.25">
      <c r="D396" s="4"/>
      <c r="E396" s="4"/>
      <c r="F396" s="4"/>
      <c r="G396" s="4"/>
      <c r="H396" s="4"/>
      <c r="I396" s="4"/>
    </row>
    <row r="397" spans="4:9" x14ac:dyDescent="0.25">
      <c r="D397" s="4"/>
      <c r="E397" s="4"/>
      <c r="F397" s="4"/>
      <c r="G397" s="4"/>
      <c r="H397" s="4"/>
      <c r="I397" s="4"/>
    </row>
    <row r="398" spans="4:9" x14ac:dyDescent="0.25">
      <c r="D398" s="4"/>
      <c r="E398" s="4"/>
      <c r="F398" s="4"/>
      <c r="G398" s="4"/>
      <c r="H398" s="4"/>
      <c r="I398" s="4"/>
    </row>
    <row r="399" spans="4:9" x14ac:dyDescent="0.25">
      <c r="D399" s="4"/>
      <c r="E399" s="4"/>
      <c r="F399" s="4"/>
      <c r="G399" s="4"/>
      <c r="H399" s="4"/>
      <c r="I399" s="4"/>
    </row>
    <row r="400" spans="4:9" x14ac:dyDescent="0.25">
      <c r="D400" s="4"/>
      <c r="E400" s="4"/>
      <c r="F400" s="4"/>
      <c r="G400" s="4"/>
      <c r="H400" s="4"/>
      <c r="I400" s="4"/>
    </row>
    <row r="401" spans="2:9" x14ac:dyDescent="0.25">
      <c r="D401" s="4"/>
      <c r="E401" s="4"/>
      <c r="F401" s="4"/>
      <c r="G401" s="4"/>
      <c r="H401" s="4"/>
      <c r="I401" s="4"/>
    </row>
    <row r="402" spans="2:9" x14ac:dyDescent="0.25">
      <c r="D402" s="4"/>
      <c r="E402" s="4"/>
      <c r="F402" s="4"/>
      <c r="G402" s="4"/>
      <c r="H402" s="4"/>
      <c r="I402" s="4"/>
    </row>
    <row r="403" spans="2:9" x14ac:dyDescent="0.25">
      <c r="D403" s="4"/>
      <c r="E403" s="4"/>
      <c r="F403" s="4"/>
      <c r="G403" s="4"/>
      <c r="H403" s="4"/>
      <c r="I403" s="4"/>
    </row>
    <row r="404" spans="2:9" x14ac:dyDescent="0.25">
      <c r="D404" s="4"/>
      <c r="E404" s="4"/>
      <c r="F404" s="4"/>
      <c r="G404" s="4"/>
      <c r="H404" s="4"/>
      <c r="I404" s="4"/>
    </row>
    <row r="405" spans="2:9" x14ac:dyDescent="0.25">
      <c r="D405" s="4"/>
      <c r="E405" s="4"/>
      <c r="F405" s="4"/>
      <c r="G405" s="4"/>
      <c r="H405" s="4"/>
      <c r="I405" s="4"/>
    </row>
    <row r="406" spans="2:9" x14ac:dyDescent="0.25">
      <c r="D406" s="4"/>
      <c r="E406" s="4"/>
      <c r="F406" s="4"/>
      <c r="G406" s="4"/>
      <c r="H406" s="4"/>
      <c r="I406" s="4"/>
    </row>
    <row r="407" spans="2:9" x14ac:dyDescent="0.25">
      <c r="B407" s="4"/>
      <c r="C407" s="4"/>
    </row>
    <row r="408" spans="2:9" x14ac:dyDescent="0.25">
      <c r="B408" s="4"/>
      <c r="C408" s="4"/>
    </row>
    <row r="409" spans="2:9" x14ac:dyDescent="0.25">
      <c r="B409" s="4"/>
      <c r="C409" s="4"/>
    </row>
    <row r="410" spans="2:9" x14ac:dyDescent="0.25">
      <c r="B410" s="4"/>
      <c r="C410" s="4"/>
    </row>
    <row r="411" spans="2:9" x14ac:dyDescent="0.25">
      <c r="B411" s="4"/>
      <c r="C411" s="4"/>
    </row>
    <row r="412" spans="2:9" x14ac:dyDescent="0.25">
      <c r="B412" s="4"/>
      <c r="C412" s="4"/>
    </row>
    <row r="413" spans="2:9" x14ac:dyDescent="0.25">
      <c r="B413" s="4"/>
      <c r="C413" s="4"/>
    </row>
    <row r="414" spans="2:9" x14ac:dyDescent="0.25">
      <c r="B414" s="4"/>
      <c r="C414" s="4"/>
    </row>
    <row r="415" spans="2:9" x14ac:dyDescent="0.25">
      <c r="B415" s="4"/>
      <c r="C415" s="4"/>
    </row>
    <row r="416" spans="2:9" x14ac:dyDescent="0.25">
      <c r="B416" s="4"/>
      <c r="C416" s="4"/>
    </row>
    <row r="417" spans="2:3" x14ac:dyDescent="0.25">
      <c r="B417" s="4"/>
      <c r="C417" s="4"/>
    </row>
  </sheetData>
  <sheetProtection algorithmName="SHA-512" hashValue="ZYm/EVluG6yJr/jvmkB1OpKhyCpHOrAinHr7uUlfFI94aKWpm/qu9zjQOpR40KC0pMblquv/Ov6AnDHr27a5Aw==" saltValue="yhA8OIZeacYn3DlSrNi1iQ==" spinCount="100000" sheet="1" objects="1" scenarios="1"/>
  <protectedRanges>
    <protectedRange sqref="B10:E19 G10:J19 F4:I4 L10:M19 D22:Q37 F41:J41 F43:J43 L43:Q43 AE10:AH19 AJ10:AM19 AO10:AP19" name="Intervalo18"/>
    <protectedRange sqref="U48:V49" name="Oculto2_4"/>
    <protectedRange sqref="U48:V49" name="Ocultos_4"/>
    <protectedRange sqref="T49" name="Oculto2_3"/>
    <protectedRange sqref="T49" name="Ocultos_3"/>
    <protectedRange sqref="S1:S20 S22:S1048576 T1:Y47 T48 W48:Y49 T50:Y1048576" name="Oculto2"/>
    <protectedRange sqref="N10:Q19 O43 L43 AQ10:AR19" name="Seletores"/>
    <protectedRange sqref="S41:U41 T43 B46 S4:Y19 S22:S24" name="VBa"/>
    <protectedRange sqref="AA7:AA8" name="SAP"/>
    <protectedRange sqref="T21:Y21 S1:Y20 S22:S24 S38:Y47 S49 S48:T48 W48:Y49 S50:Y1048576" name="Ocultos"/>
    <protectedRange sqref="B10:M19 AE10:AP19" name="liberar edicao_1"/>
    <protectedRange sqref="I4" name="liberar edicao_2"/>
    <protectedRange sqref="D22 D25 D30" name="liberar edicao_3"/>
    <protectedRange sqref="F41 H41 J41" name="liberar edicao_4"/>
    <protectedRange sqref="F43 I43" name="liberar edicao_5"/>
    <protectedRange sqref="Y10:Y19 B70:B78" name="novo"/>
    <protectedRange sqref="U23:U25" name="Usuario"/>
    <protectedRange sqref="S21:S24" name="Intervalo14"/>
  </protectedRanges>
  <dataConsolidate link="1"/>
  <mergeCells count="187">
    <mergeCell ref="J2:Q2"/>
    <mergeCell ref="J4:K4"/>
    <mergeCell ref="L4:M4"/>
    <mergeCell ref="L3:Q3"/>
    <mergeCell ref="J3:K3"/>
    <mergeCell ref="C3:C4"/>
    <mergeCell ref="B3:B4"/>
    <mergeCell ref="I19:J19"/>
    <mergeCell ref="B6:Q6"/>
    <mergeCell ref="G7:H8"/>
    <mergeCell ref="D7:F8"/>
    <mergeCell ref="B7:C9"/>
    <mergeCell ref="B10:C10"/>
    <mergeCell ref="B12:C12"/>
    <mergeCell ref="I7:K8"/>
    <mergeCell ref="D9:F9"/>
    <mergeCell ref="I9:K9"/>
    <mergeCell ref="B5:Q5"/>
    <mergeCell ref="G10:H10"/>
    <mergeCell ref="G9:H9"/>
    <mergeCell ref="L9:M9"/>
    <mergeCell ref="P7:Q9"/>
    <mergeCell ref="D16:E16"/>
    <mergeCell ref="P16:Q16"/>
    <mergeCell ref="B46:Q46"/>
    <mergeCell ref="B20:Q20"/>
    <mergeCell ref="B17:C17"/>
    <mergeCell ref="N17:O17"/>
    <mergeCell ref="B22:C24"/>
    <mergeCell ref="D22:Q24"/>
    <mergeCell ref="B30:C37"/>
    <mergeCell ref="D30:Q37"/>
    <mergeCell ref="B25:C29"/>
    <mergeCell ref="D25:Q29"/>
    <mergeCell ref="B38:Q38"/>
    <mergeCell ref="D18:E18"/>
    <mergeCell ref="L18:M18"/>
    <mergeCell ref="L19:M19"/>
    <mergeCell ref="B21:M21"/>
    <mergeCell ref="N21:Q21"/>
    <mergeCell ref="G17:H17"/>
    <mergeCell ref="G18:H18"/>
    <mergeCell ref="G19:H19"/>
    <mergeCell ref="D19:E19"/>
    <mergeCell ref="O43:Q43"/>
    <mergeCell ref="O40:Q42"/>
    <mergeCell ref="B39:Q39"/>
    <mergeCell ref="Z26:AB28"/>
    <mergeCell ref="B11:C11"/>
    <mergeCell ref="P18:Q18"/>
    <mergeCell ref="B19:C19"/>
    <mergeCell ref="N19:O19"/>
    <mergeCell ref="P19:Q19"/>
    <mergeCell ref="B18:C18"/>
    <mergeCell ref="N18:O18"/>
    <mergeCell ref="N12:O12"/>
    <mergeCell ref="P12:Q12"/>
    <mergeCell ref="B13:C13"/>
    <mergeCell ref="P15:Q15"/>
    <mergeCell ref="B15:C15"/>
    <mergeCell ref="N15:O15"/>
    <mergeCell ref="P14:Q14"/>
    <mergeCell ref="P13:Q13"/>
    <mergeCell ref="L14:M14"/>
    <mergeCell ref="B16:C16"/>
    <mergeCell ref="Z14:AB19"/>
    <mergeCell ref="B14:C14"/>
    <mergeCell ref="G11:H11"/>
    <mergeCell ref="N13:O13"/>
    <mergeCell ref="D11:E11"/>
    <mergeCell ref="L17:M17"/>
    <mergeCell ref="Z34:AB36"/>
    <mergeCell ref="D3:D4"/>
    <mergeCell ref="E3:E4"/>
    <mergeCell ref="Z2:AB3"/>
    <mergeCell ref="Z5:AB6"/>
    <mergeCell ref="Z10:AB12"/>
    <mergeCell ref="AA7:AB7"/>
    <mergeCell ref="N10:O10"/>
    <mergeCell ref="L10:M10"/>
    <mergeCell ref="AA8:AB8"/>
    <mergeCell ref="P10:Q10"/>
    <mergeCell ref="L7:M8"/>
    <mergeCell ref="N11:O11"/>
    <mergeCell ref="P11:Q11"/>
    <mergeCell ref="N7:O9"/>
    <mergeCell ref="P4:Q4"/>
    <mergeCell ref="N4:O4"/>
    <mergeCell ref="D17:E17"/>
    <mergeCell ref="B2:I2"/>
    <mergeCell ref="P17:Q17"/>
    <mergeCell ref="D12:E12"/>
    <mergeCell ref="D13:E13"/>
    <mergeCell ref="D14:E14"/>
    <mergeCell ref="D15:E15"/>
    <mergeCell ref="L12:M12"/>
    <mergeCell ref="L13:M13"/>
    <mergeCell ref="G12:H12"/>
    <mergeCell ref="G13:H13"/>
    <mergeCell ref="G14:H14"/>
    <mergeCell ref="G15:H15"/>
    <mergeCell ref="G16:H16"/>
    <mergeCell ref="L15:M15"/>
    <mergeCell ref="AL10:AM10"/>
    <mergeCell ref="AE10:AF10"/>
    <mergeCell ref="AG10:AH10"/>
    <mergeCell ref="AJ10:AK10"/>
    <mergeCell ref="AE13:AF13"/>
    <mergeCell ref="AG13:AH13"/>
    <mergeCell ref="AJ13:AK13"/>
    <mergeCell ref="AE16:AF16"/>
    <mergeCell ref="AG16:AH16"/>
    <mergeCell ref="AJ16:AK16"/>
    <mergeCell ref="AO10:AP10"/>
    <mergeCell ref="AE11:AF11"/>
    <mergeCell ref="AG11:AH11"/>
    <mergeCell ref="AJ11:AK11"/>
    <mergeCell ref="AL11:AM11"/>
    <mergeCell ref="AO11:AP11"/>
    <mergeCell ref="AE12:AF12"/>
    <mergeCell ref="AG12:AH12"/>
    <mergeCell ref="AJ12:AK12"/>
    <mergeCell ref="AL12:AM12"/>
    <mergeCell ref="AO12:AP12"/>
    <mergeCell ref="AJ18:AK18"/>
    <mergeCell ref="AL18:AM18"/>
    <mergeCell ref="AO18:AP18"/>
    <mergeCell ref="AL13:AM13"/>
    <mergeCell ref="AO13:AP13"/>
    <mergeCell ref="AE14:AF14"/>
    <mergeCell ref="AG14:AH14"/>
    <mergeCell ref="AJ14:AK14"/>
    <mergeCell ref="AL14:AM14"/>
    <mergeCell ref="AO14:AP14"/>
    <mergeCell ref="AE15:AF15"/>
    <mergeCell ref="AG15:AH15"/>
    <mergeCell ref="AJ15:AK15"/>
    <mergeCell ref="AL15:AM15"/>
    <mergeCell ref="AO15:AP15"/>
    <mergeCell ref="AE19:AF19"/>
    <mergeCell ref="AG19:AH19"/>
    <mergeCell ref="AJ19:AK19"/>
    <mergeCell ref="AL19:AM19"/>
    <mergeCell ref="AO19:AP19"/>
    <mergeCell ref="AQ19:AR19"/>
    <mergeCell ref="AQ10:AR10"/>
    <mergeCell ref="AQ11:AR11"/>
    <mergeCell ref="AQ12:AR12"/>
    <mergeCell ref="AQ13:AR13"/>
    <mergeCell ref="AQ14:AR14"/>
    <mergeCell ref="AQ15:AR15"/>
    <mergeCell ref="AQ16:AR16"/>
    <mergeCell ref="AQ17:AR17"/>
    <mergeCell ref="AQ18:AR18"/>
    <mergeCell ref="AL16:AM16"/>
    <mergeCell ref="AO16:AP16"/>
    <mergeCell ref="AE17:AF17"/>
    <mergeCell ref="AG17:AH17"/>
    <mergeCell ref="AJ17:AK17"/>
    <mergeCell ref="AL17:AM17"/>
    <mergeCell ref="AO17:AP17"/>
    <mergeCell ref="AE18:AF18"/>
    <mergeCell ref="AG18:AH18"/>
    <mergeCell ref="F3:I3"/>
    <mergeCell ref="F4:I4"/>
    <mergeCell ref="L40:N42"/>
    <mergeCell ref="L43:N43"/>
    <mergeCell ref="F41:J41"/>
    <mergeCell ref="F43:J43"/>
    <mergeCell ref="F40:K40"/>
    <mergeCell ref="F42:K42"/>
    <mergeCell ref="B40:E41"/>
    <mergeCell ref="B42:E43"/>
    <mergeCell ref="L16:M16"/>
    <mergeCell ref="I15:J15"/>
    <mergeCell ref="I16:J16"/>
    <mergeCell ref="L11:M11"/>
    <mergeCell ref="I17:J17"/>
    <mergeCell ref="D10:E10"/>
    <mergeCell ref="I18:J18"/>
    <mergeCell ref="N16:O16"/>
    <mergeCell ref="N14:O14"/>
    <mergeCell ref="I10:J10"/>
    <mergeCell ref="I11:J11"/>
    <mergeCell ref="I12:J12"/>
    <mergeCell ref="I13:J13"/>
    <mergeCell ref="I14:J14"/>
  </mergeCells>
  <phoneticPr fontId="3" type="noConversion"/>
  <dataValidations count="10">
    <dataValidation type="date" allowBlank="1" showInputMessage="1" showErrorMessage="1" errorTitle="Data final" error="Formato digitado incorreto._x000a__x000a_Ou_x000a__x000a_Data digitado está no fururo ou Menor que Data de Início." sqref="K10:K19 I10:I19 AN10:AN19 AL10:AL19">
      <formula1>D10</formula1>
      <formula2>$W$4</formula2>
    </dataValidation>
    <dataValidation type="date" allowBlank="1" showInputMessage="1" showErrorMessage="1" errorTitle="Data de Início" error="Formato digitado incorreto._x000a__x000a_Ou_x000a__x000a_Data digitado está no fururo" sqref="F10:F19 D10:D19 AI10:AI19 AG10:AG19">
      <formula1>44562</formula1>
      <formula2>$W$4</formula2>
    </dataValidation>
    <dataValidation type="custom" allowBlank="1" showInputMessage="1" showErrorMessage="1" error="erro_x000a_" sqref="T20">
      <formula1>(S20&lt;&gt;"")</formula1>
    </dataValidation>
    <dataValidation type="time" operator="lessThanOrEqual" allowBlank="1" showInputMessage="1" showErrorMessage="1" errorTitle="Hora Inicial" error="Valor digitado para Hora incorreto._x000a__x000a_OU_x000a__x000a_Caso Data de Início seja Hoje, Hora no Futuro." sqref="G10:H19 AJ10:AK19">
      <formula1>IF(D10=$W$4,$X$6,$V$8)</formula1>
    </dataValidation>
    <dataValidation type="time" allowBlank="1" showInputMessage="1" showErrorMessage="1" errorTitle="Hora Final" error="Valor digitado para Hora incorreto._x000a__x000a_OU_x000a__x000a_Hora Menor que Hora Inicial ou Hora no Futuro." sqref="L10:M19 AO10:AP19">
      <formula1>IF(I10=D10,(G10+$W$8),$U$8)</formula1>
      <formula2>IF(I10=$W$4,$X$6,$V$8)</formula2>
    </dataValidation>
    <dataValidation type="whole" allowBlank="1" showInputMessage="1" showErrorMessage="1" errorTitle="Número do RE" error="Número do R.E. não Existe." promptTitle="Número do R.E." sqref="B10:C19 AE10:AF19">
      <formula1>500000</formula1>
      <formula2>599999</formula2>
    </dataValidation>
    <dataValidation type="custom" allowBlank="1" showInputMessage="1" showErrorMessage="1" errorTitle="Histórico do Serviço" error="Para Prencher esse Campo, mude a Opção acima para_x000a__x000a_Lançamento de Histórico do Serviço._x000a_" sqref="D22:Q37">
      <formula1>IF(OR($S$21=1,$S$21=3),1,0)</formula1>
    </dataValidation>
    <dataValidation type="date" operator="lessThanOrEqual" allowBlank="1" showInputMessage="1" showErrorMessage="1" sqref="S2">
      <formula1>$W$4</formula1>
    </dataValidation>
    <dataValidation type="date" allowBlank="1" showInputMessage="1" showErrorMessage="1" errorTitle="Data Término" error="Formato digitado incorreto._x000a__x000a_Ou_x000a__x000a_Data digitado está no fururo" sqref="F41">
      <formula1>44562</formula1>
      <formula2>W4</formula2>
    </dataValidation>
    <dataValidation type="time" allowBlank="1" showInputMessage="1" showErrorMessage="1" errorTitle="Hora Final" error="Valor digitado para Hora incorreto._x000a__x000a_OU_x000a__x000a_Hora no Futuro." sqref="F43">
      <formula1>0</formula1>
      <formula2>IF(F41=W4,$X$6,"23:59:59")</formula2>
    </dataValidation>
  </dataValidations>
  <hyperlinks>
    <hyperlink ref="E3:E4" location="'Ordem de serviços'!E3" tooltip="Consultar Horas Trabalhadas" display=" Buscar Horas de Trabalho"/>
    <hyperlink ref="J4:K4" location="'Ordem de serviços'!J4" tooltip="Buscar Dados / Nota de AVARIA" display=" "/>
    <hyperlink ref="Z14:AB19" location="'Ordem de serviços'!Z14" tooltip="Salvar Dados no SAP" display=" "/>
    <hyperlink ref="B3:B4" location="'Ordem de serviços'!B3" tooltip="Criar Nota de Avaria" display="'Ordem de serviços'!B3"/>
    <hyperlink ref="D3:D4" location="'Ordem de serviços'!D3" tooltip="Buscar Histórico" display="'Ordem de serviços'!D3"/>
    <hyperlink ref="C3:C4" location="'Ordem de serviços'!D3" tooltip="Modificar Nota de Avaria" display="'Ordem de serviços'!D3"/>
    <hyperlink ref="AA8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5" name="Drop Down 16">
              <controlPr defaultSize="0" autoLine="0" autoPict="0" altText="">
                <anchor moveWithCells="1">
                  <from>
                    <xdr:col>13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6" name="Drop Down 26">
              <controlPr defaultSize="0" autoLine="0" autoPict="0" altText="">
                <anchor moveWithCells="1">
                  <from>
                    <xdr:col>15</xdr:col>
                    <xdr:colOff>9525</xdr:colOff>
                    <xdr:row>9</xdr:row>
                    <xdr:rowOff>0</xdr:rowOff>
                  </from>
                  <to>
                    <xdr:col>16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7" name="Drop Down 36">
              <controlPr defaultSize="0" autoLine="0" autoPict="0" altText="">
                <anchor moveWithCells="1">
                  <from>
                    <xdr:col>13</xdr:col>
                    <xdr:colOff>9525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8" name="Drop Down 37">
              <controlPr defaultSize="0" autoLine="0" autoPict="0" altText="">
                <anchor moveWithCells="1">
                  <from>
                    <xdr:col>15</xdr:col>
                    <xdr:colOff>9525</xdr:colOff>
                    <xdr:row>10</xdr:row>
                    <xdr:rowOff>0</xdr:rowOff>
                  </from>
                  <to>
                    <xdr:col>16</xdr:col>
                    <xdr:colOff>581025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9" name="Drop Down 38">
              <controlPr defaultSize="0" autoLine="0" autoPict="0" altText="">
                <anchor moveWithCells="1">
                  <from>
                    <xdr:col>13</xdr:col>
                    <xdr:colOff>9525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0" name="Drop Down 39">
              <controlPr defaultSize="0" autoLine="0" autoPict="0" altText="">
                <anchor moveWithCells="1">
                  <from>
                    <xdr:col>15</xdr:col>
                    <xdr:colOff>9525</xdr:colOff>
                    <xdr:row>11</xdr:row>
                    <xdr:rowOff>0</xdr:rowOff>
                  </from>
                  <to>
                    <xdr:col>16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1" name="Drop Down 40">
              <controlPr defaultSize="0" autoLine="0" autoPict="0" altText="">
                <anchor moveWithCells="1">
                  <from>
                    <xdr:col>13</xdr:col>
                    <xdr:colOff>9525</xdr:colOff>
                    <xdr:row>12</xdr:row>
                    <xdr:rowOff>0</xdr:rowOff>
                  </from>
                  <to>
                    <xdr:col>15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2" name="Drop Down 41">
              <controlPr defaultSize="0" autoLine="0" autoPict="0" altText="">
                <anchor moveWithCells="1">
                  <from>
                    <xdr:col>15</xdr:col>
                    <xdr:colOff>9525</xdr:colOff>
                    <xdr:row>12</xdr:row>
                    <xdr:rowOff>0</xdr:rowOff>
                  </from>
                  <to>
                    <xdr:col>16</xdr:col>
                    <xdr:colOff>581025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3" name="Drop Down 44">
              <controlPr defaultSize="0" autoLine="0" autoPict="0" altText="">
                <anchor mov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14" name="Drop Down 45">
              <controlPr defaultSize="0" autoLine="0" autoPict="0" altText="">
                <anchor moveWithCells="1">
                  <from>
                    <xdr:col>15</xdr:col>
                    <xdr:colOff>9525</xdr:colOff>
                    <xdr:row>13</xdr:row>
                    <xdr:rowOff>0</xdr:rowOff>
                  </from>
                  <to>
                    <xdr:col>16</xdr:col>
                    <xdr:colOff>581025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5" name="Drop Down 46">
              <controlPr defaultSize="0" autoLine="0" autoPict="0" altText="">
                <anchor moveWithCells="1">
                  <from>
                    <xdr:col>13</xdr:col>
                    <xdr:colOff>9525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16" name="Drop Down 47">
              <controlPr defaultSize="0" autoLine="0" autoPict="0" altText="">
                <anchor moveWithCells="1">
                  <from>
                    <xdr:col>15</xdr:col>
                    <xdr:colOff>9525</xdr:colOff>
                    <xdr:row>14</xdr:row>
                    <xdr:rowOff>0</xdr:rowOff>
                  </from>
                  <to>
                    <xdr:col>16</xdr:col>
                    <xdr:colOff>581025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7" name="Drop Down 48">
              <controlPr defaultSize="0" autoLine="0" autoPict="0" altText="">
                <anchor moveWithCells="1">
                  <from>
                    <xdr:col>13</xdr:col>
                    <xdr:colOff>9525</xdr:colOff>
                    <xdr:row>15</xdr:row>
                    <xdr:rowOff>0</xdr:rowOff>
                  </from>
                  <to>
                    <xdr:col>15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8" name="Drop Down 49">
              <controlPr defaultSize="0" autoLine="0" autoPict="0" altText="">
                <anchor moveWithCells="1">
                  <from>
                    <xdr:col>15</xdr:col>
                    <xdr:colOff>9525</xdr:colOff>
                    <xdr:row>15</xdr:row>
                    <xdr:rowOff>0</xdr:rowOff>
                  </from>
                  <to>
                    <xdr:col>16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9" name="Drop Down 50">
              <controlPr defaultSize="0" autoLine="0" autoPict="0" altText="">
                <anchor moveWithCells="1">
                  <from>
                    <xdr:col>13</xdr:col>
                    <xdr:colOff>9525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20" name="Drop Down 51">
              <controlPr defaultSize="0" autoLine="0" autoPict="0" altText="">
                <anchor moveWithCells="1">
                  <from>
                    <xdr:col>15</xdr:col>
                    <xdr:colOff>9525</xdr:colOff>
                    <xdr:row>16</xdr:row>
                    <xdr:rowOff>0</xdr:rowOff>
                  </from>
                  <to>
                    <xdr:col>16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1" name="Drop Down 52">
              <controlPr defaultSize="0" autoLine="0" autoPict="0" altText="">
                <anchor moveWithCells="1">
                  <from>
                    <xdr:col>13</xdr:col>
                    <xdr:colOff>9525</xdr:colOff>
                    <xdr:row>17</xdr:row>
                    <xdr:rowOff>0</xdr:rowOff>
                  </from>
                  <to>
                    <xdr:col>15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22" name="Drop Down 53">
              <controlPr defaultSize="0" autoLine="0" autoPict="0" altText="">
                <anchor moveWithCells="1">
                  <from>
                    <xdr:col>15</xdr:col>
                    <xdr:colOff>9525</xdr:colOff>
                    <xdr:row>17</xdr:row>
                    <xdr:rowOff>0</xdr:rowOff>
                  </from>
                  <to>
                    <xdr:col>16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23" name="Drop Down 54">
              <controlPr defaultSize="0" autoLine="0" autoPict="0" altText="">
                <anchor moveWithCells="1">
                  <from>
                    <xdr:col>13</xdr:col>
                    <xdr:colOff>9525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24" name="Drop Down 55">
              <controlPr defaultSize="0" autoLine="0" autoPict="0" altText="">
                <anchor moveWithCells="1">
                  <from>
                    <xdr:col>15</xdr:col>
                    <xdr:colOff>9525</xdr:colOff>
                    <xdr:row>18</xdr:row>
                    <xdr:rowOff>0</xdr:rowOff>
                  </from>
                  <to>
                    <xdr:col>16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25" name="Drop Down 57">
              <controlPr locked="0" defaultSize="0" autoLine="0" autoPict="0" altText="">
                <anchor moveWithCells="1">
                  <from>
                    <xdr:col>14</xdr:col>
                    <xdr:colOff>295275</xdr:colOff>
                    <xdr:row>42</xdr:row>
                    <xdr:rowOff>0</xdr:rowOff>
                  </from>
                  <to>
                    <xdr:col>16</xdr:col>
                    <xdr:colOff>285750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26" name="Drop Down 59">
              <controlPr defaultSize="0" autoLine="0" autoPict="0" altText="">
                <anchor moveWithCells="1">
                  <from>
                    <xdr:col>13</xdr:col>
                    <xdr:colOff>9525</xdr:colOff>
                    <xdr:row>20</xdr:row>
                    <xdr:rowOff>19050</xdr:rowOff>
                  </from>
                  <to>
                    <xdr:col>16</xdr:col>
                    <xdr:colOff>581025</xdr:colOff>
                    <xdr:row>20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27" name="Drop Down 60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552450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28" name="Drop Down 61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552450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29" name="Drop Down 62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552450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30" name="Drop Down 63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552450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31" name="Drop Down 64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552450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2" name="Drop Down 65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552450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33" name="Drop Down 66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34" name="Drop Down 67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35" name="Drop Down 68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36" name="Drop Down 69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552450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37" name="Drop Down 70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552450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38" name="Drop Down 71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552450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39" name="Drop Down 72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552450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0" name="Drop Down 73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552450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41" name="Drop Down 74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552450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42" name="Drop Down 75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552450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43" name="Drop Down 76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44" name="Drop Down 77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45" name="Drop Down 78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46" name="Drop Down 79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552450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47" name="Drop Down 80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552450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48" name="Drop Down 81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552450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49" name="Drop Down 82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552450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50" name="Drop Down 83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552450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51" name="Drop Down 84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552450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52" name="Drop Down 85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552450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53" name="Drop Down 86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54" name="Drop Down 87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55" name="Drop Down 88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56" name="Drop Down 89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552450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57" name="Drop Down 90">
              <controlPr locked="0" defaultSize="0" autoLine="0" autoPict="0" altText="">
                <anchor moveWithCells="1">
                  <from>
                    <xdr:col>11</xdr:col>
                    <xdr:colOff>333375</xdr:colOff>
                    <xdr:row>42</xdr:row>
                    <xdr:rowOff>0</xdr:rowOff>
                  </from>
                  <to>
                    <xdr:col>13</xdr:col>
                    <xdr:colOff>323850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58" name="Drop Down 91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542925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59" name="Drop Down 92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60" name="Drop Down 93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542925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61" name="Drop Down 94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542925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62" name="Drop Down 95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63" name="Drop Down 96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542925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64" name="Drop Down 97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542925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65" name="Drop Down 98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542925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66" name="Drop Down 99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542925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67" name="Drop Down 100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542925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68" name="Drop Down 101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552450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69" name="Drop Down 102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552450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70" name="Drop Down 103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552450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71" name="Drop Down 104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552450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2" name="Drop Down 105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552450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73" name="Drop Down 106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552450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74" name="Drop Down 107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75" name="Drop Down 108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76" name="Drop Down 109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77" name="Drop Down 110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552450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78" name="Drop Down 111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552450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79" name="Drop Down 112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552450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80" name="Drop Down 113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552450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81" name="Drop Down 114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552450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82" name="Drop Down 115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552450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83" name="Drop Down 116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552450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84" name="Drop Down 117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85" name="Drop Down 118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86" name="Drop Down 119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87" name="Drop Down 120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552450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88" name="Drop Down 121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552450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89" name="Drop Down 122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552450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90" name="Drop Down 123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552450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91" name="Drop Down 124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552450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92" name="Drop Down 125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552450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93" name="Drop Down 126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552450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94" name="Drop Down 127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95" name="Drop Down 128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96" name="Drop Down 129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97" name="Drop Down 130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552450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98" name="Drop Down 131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552450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99" name="Drop Down 132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552450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00" name="Drop Down 133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552450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01" name="Drop Down 134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552450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02" name="Drop Down 135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552450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03" name="Drop Down 136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552450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04" name="Drop Down 137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552450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05" name="Drop Down 138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552450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06" name="Drop Down 139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552450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07" name="Drop Down 140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552450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08" name="Drop Down 141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542925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09" name="Drop Down 142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10" name="Drop Down 143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542925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11" name="Drop Down 144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542925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12" name="Drop Down 145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13" name="Drop Down 146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542925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14" name="Drop Down 147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542925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15" name="Drop Down 148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0</xdr:rowOff>
                  </from>
                  <to>
                    <xdr:col>43</xdr:col>
                    <xdr:colOff>542925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16" name="Drop Down 149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542925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17" name="Drop Down 150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542925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18" name="Drop Down 151">
              <controlPr defaultSize="0" autoLine="0" autoPict="0" altText="">
                <anchor moveWithCells="1">
                  <from>
                    <xdr:col>42</xdr:col>
                    <xdr:colOff>9525</xdr:colOff>
                    <xdr:row>9</xdr:row>
                    <xdr:rowOff>0</xdr:rowOff>
                  </from>
                  <to>
                    <xdr:col>43</xdr:col>
                    <xdr:colOff>542925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19" name="Drop Down 152">
              <controlPr defaultSize="0" autoLine="0" autoPict="0" altText="">
                <anchor moveWithCells="1">
                  <from>
                    <xdr:col>42</xdr:col>
                    <xdr:colOff>9525</xdr:colOff>
                    <xdr:row>10</xdr:row>
                    <xdr:rowOff>0</xdr:rowOff>
                  </from>
                  <to>
                    <xdr:col>43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20" name="Drop Down 153">
              <controlPr defaultSize="0" autoLine="0" autoPict="0" altText="">
                <anchor moveWithCells="1">
                  <from>
                    <xdr:col>42</xdr:col>
                    <xdr:colOff>9525</xdr:colOff>
                    <xdr:row>11</xdr:row>
                    <xdr:rowOff>0</xdr:rowOff>
                  </from>
                  <to>
                    <xdr:col>43</xdr:col>
                    <xdr:colOff>542925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21" name="Drop Down 154">
              <controlPr defaultSize="0" autoLine="0" autoPict="0" altText="">
                <anchor moveWithCells="1">
                  <from>
                    <xdr:col>42</xdr:col>
                    <xdr:colOff>9525</xdr:colOff>
                    <xdr:row>12</xdr:row>
                    <xdr:rowOff>0</xdr:rowOff>
                  </from>
                  <to>
                    <xdr:col>43</xdr:col>
                    <xdr:colOff>542925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22" name="Drop Down 155">
              <controlPr defaultSize="0" autoLine="0" autoPict="0" altText="">
                <anchor moveWithCells="1">
                  <from>
                    <xdr:col>42</xdr:col>
                    <xdr:colOff>9525</xdr:colOff>
                    <xdr:row>13</xdr:row>
                    <xdr:rowOff>0</xdr:rowOff>
                  </from>
                  <to>
                    <xdr:col>43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23" name="Drop Down 156">
              <controlPr defaultSize="0" autoLine="0" autoPict="0" altText="">
                <anchor moveWithCells="1">
                  <from>
                    <xdr:col>42</xdr:col>
                    <xdr:colOff>9525</xdr:colOff>
                    <xdr:row>14</xdr:row>
                    <xdr:rowOff>0</xdr:rowOff>
                  </from>
                  <to>
                    <xdr:col>43</xdr:col>
                    <xdr:colOff>542925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24" name="Drop Down 157">
              <controlPr defaultSize="0" autoLine="0" autoPict="0" altText="">
                <anchor moveWithCells="1">
                  <from>
                    <xdr:col>42</xdr:col>
                    <xdr:colOff>9525</xdr:colOff>
                    <xdr:row>15</xdr:row>
                    <xdr:rowOff>0</xdr:rowOff>
                  </from>
                  <to>
                    <xdr:col>43</xdr:col>
                    <xdr:colOff>542925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25" name="Drop Down 158">
              <controlPr defaultSize="0" autoLine="0" autoPict="0" altText="">
                <anchor moveWithCells="1">
                  <from>
                    <xdr:col>42</xdr:col>
                    <xdr:colOff>9525</xdr:colOff>
                    <xdr:row>16</xdr:row>
                    <xdr:rowOff>190500</xdr:rowOff>
                  </from>
                  <to>
                    <xdr:col>43</xdr:col>
                    <xdr:colOff>542925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26" name="Drop Down 159">
              <controlPr defaultSize="0" autoLine="0" autoPict="0" altText="">
                <anchor moveWithCells="1">
                  <from>
                    <xdr:col>42</xdr:col>
                    <xdr:colOff>9525</xdr:colOff>
                    <xdr:row>17</xdr:row>
                    <xdr:rowOff>0</xdr:rowOff>
                  </from>
                  <to>
                    <xdr:col>43</xdr:col>
                    <xdr:colOff>542925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27" name="Drop Down 160">
              <controlPr defaultSize="0" autoLine="0" autoPict="0" altText="">
                <anchor moveWithCells="1">
                  <from>
                    <xdr:col>42</xdr:col>
                    <xdr:colOff>9525</xdr:colOff>
                    <xdr:row>18</xdr:row>
                    <xdr:rowOff>0</xdr:rowOff>
                  </from>
                  <to>
                    <xdr:col>43</xdr:col>
                    <xdr:colOff>542925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L3"/>
  <sheetViews>
    <sheetView showGridLines="0" zoomScale="118" zoomScaleNormal="118" workbookViewId="0">
      <pane ySplit="2" topLeftCell="A3" activePane="bottomLeft" state="frozen"/>
      <selection pane="bottomLeft" sqref="A1:J1"/>
    </sheetView>
  </sheetViews>
  <sheetFormatPr defaultRowHeight="15" x14ac:dyDescent="0.25"/>
  <cols>
    <col min="1" max="1" width="15.7109375" style="17" customWidth="1"/>
    <col min="2" max="2" width="39.42578125" style="17" bestFit="1" customWidth="1"/>
    <col min="3" max="3" width="11.28515625" style="17" bestFit="1" customWidth="1"/>
    <col min="4" max="5" width="15.7109375" style="17" customWidth="1"/>
    <col min="6" max="6" width="14.7109375" style="17" bestFit="1" customWidth="1"/>
    <col min="7" max="7" width="15.7109375" style="17" customWidth="1"/>
    <col min="8" max="8" width="15.7109375" style="18" customWidth="1"/>
    <col min="9" max="9" width="15.7109375" style="17" customWidth="1"/>
    <col min="10" max="10" width="9.28515625" style="17" bestFit="1" customWidth="1"/>
    <col min="11" max="11" width="10.42578125" style="17" bestFit="1" customWidth="1"/>
    <col min="12" max="16384" width="9.140625" style="17"/>
  </cols>
  <sheetData>
    <row r="1" spans="1:12" ht="40.5" customHeight="1" x14ac:dyDescent="0.25">
      <c r="A1" s="19"/>
      <c r="B1" s="19"/>
      <c r="C1" s="19"/>
      <c r="D1" s="19"/>
      <c r="E1" s="19"/>
      <c r="F1" s="19"/>
      <c r="G1" s="19"/>
      <c r="H1" s="20"/>
      <c r="I1" s="19"/>
      <c r="J1" s="19"/>
      <c r="K1" s="19"/>
      <c r="L1" s="19"/>
    </row>
    <row r="2" spans="1:12" x14ac:dyDescent="0.25">
      <c r="A2" s="17" t="s">
        <v>36</v>
      </c>
      <c r="B2" s="17" t="s">
        <v>37</v>
      </c>
      <c r="C2" s="17" t="s">
        <v>38</v>
      </c>
      <c r="D2" s="17" t="s">
        <v>39</v>
      </c>
      <c r="E2" s="17" t="s">
        <v>40</v>
      </c>
      <c r="F2" s="17" t="s">
        <v>41</v>
      </c>
      <c r="G2" s="17" t="s">
        <v>42</v>
      </c>
      <c r="H2" s="18" t="s">
        <v>43</v>
      </c>
      <c r="I2" s="17" t="s">
        <v>44</v>
      </c>
      <c r="J2" s="17" t="s">
        <v>45</v>
      </c>
      <c r="K2" s="17" t="s">
        <v>65</v>
      </c>
    </row>
    <row r="3" spans="1:12" x14ac:dyDescent="0.25">
      <c r="A3" s="17" t="s">
        <v>238</v>
      </c>
      <c r="B3" s="17" t="s">
        <v>239</v>
      </c>
      <c r="C3" s="17" t="s">
        <v>11</v>
      </c>
      <c r="D3" s="17">
        <v>10748504</v>
      </c>
      <c r="E3" s="17">
        <v>2347714</v>
      </c>
      <c r="F3" s="17">
        <v>2402</v>
      </c>
      <c r="G3" s="44" t="s">
        <v>240</v>
      </c>
      <c r="H3" s="18">
        <v>0.3807638888888889</v>
      </c>
      <c r="I3" s="17" t="s">
        <v>241</v>
      </c>
    </row>
  </sheetData>
  <sheetProtection autoFilter="0"/>
  <phoneticPr fontId="3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L3"/>
  <sheetViews>
    <sheetView showGridLines="0" zoomScale="110" zoomScaleNormal="11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25.7109375" style="17" customWidth="1"/>
    <col min="2" max="2" width="13.140625" style="17" bestFit="1" customWidth="1"/>
    <col min="3" max="3" width="15.140625" style="17" bestFit="1" customWidth="1"/>
    <col min="4" max="4" width="16.42578125" style="17" bestFit="1" customWidth="1"/>
    <col min="5" max="5" width="16.85546875" style="17" hidden="1" customWidth="1"/>
    <col min="6" max="6" width="18.7109375" style="17" hidden="1" customWidth="1"/>
    <col min="7" max="7" width="14.7109375" style="17" customWidth="1"/>
    <col min="8" max="10" width="14.7109375" style="18" customWidth="1"/>
    <col min="11" max="11" width="16" style="18" bestFit="1" customWidth="1"/>
    <col min="12" max="12" width="37" style="17" bestFit="1" customWidth="1"/>
    <col min="13" max="16384" width="9.140625" style="17"/>
  </cols>
  <sheetData>
    <row r="1" spans="1:12" ht="40.5" customHeight="1" x14ac:dyDescent="0.25">
      <c r="A1" s="19"/>
      <c r="B1" s="19"/>
      <c r="C1" s="19"/>
      <c r="D1" s="19"/>
      <c r="E1" s="19"/>
      <c r="F1" s="19"/>
      <c r="G1" s="19"/>
      <c r="H1" s="20"/>
      <c r="I1" s="20"/>
      <c r="J1" s="20"/>
      <c r="K1" s="20"/>
      <c r="L1" s="20"/>
    </row>
    <row r="2" spans="1:12" x14ac:dyDescent="0.25">
      <c r="A2" s="17" t="s">
        <v>55</v>
      </c>
      <c r="B2" s="17" t="s">
        <v>56</v>
      </c>
      <c r="C2" s="17" t="s">
        <v>36</v>
      </c>
      <c r="D2" s="17" t="s">
        <v>57</v>
      </c>
      <c r="E2" s="17" t="s">
        <v>58</v>
      </c>
      <c r="F2" s="17" t="s">
        <v>59</v>
      </c>
      <c r="G2" s="17" t="s">
        <v>60</v>
      </c>
      <c r="H2" s="18" t="s">
        <v>15</v>
      </c>
      <c r="I2" s="18" t="s">
        <v>61</v>
      </c>
      <c r="J2" s="18" t="s">
        <v>16</v>
      </c>
      <c r="K2" s="18" t="s">
        <v>64</v>
      </c>
      <c r="L2" s="18" t="s">
        <v>62</v>
      </c>
    </row>
    <row r="3" spans="1:12" ht="15" customHeight="1" x14ac:dyDescent="0.25">
      <c r="A3" s="66"/>
      <c r="B3" s="66"/>
      <c r="C3" s="66"/>
      <c r="D3" s="66"/>
      <c r="E3" s="44"/>
      <c r="G3" s="44"/>
      <c r="H3" s="44"/>
      <c r="K3" s="65"/>
      <c r="L3" s="40"/>
    </row>
  </sheetData>
  <sheetProtection autoFilter="0"/>
  <pageMargins left="0.511811024" right="0.511811024" top="0.78740157499999996" bottom="0.78740157499999996" header="0.31496062000000002" footer="0.31496062000000002"/>
  <pageSetup paperSize="9" scale="74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126"/>
  <sheetViews>
    <sheetView showGridLines="0" zoomScale="96" zoomScaleNormal="96" workbookViewId="0">
      <pane ySplit="3" topLeftCell="A4" activePane="bottomLeft" state="frozen"/>
      <selection pane="bottomLeft" activeCell="A3" sqref="A3"/>
    </sheetView>
  </sheetViews>
  <sheetFormatPr defaultRowHeight="15" customHeight="1" x14ac:dyDescent="0.25"/>
  <cols>
    <col min="1" max="1" width="16.7109375" style="59" customWidth="1"/>
    <col min="2" max="2" width="38.85546875" style="59" customWidth="1"/>
    <col min="3" max="5" width="16.7109375" style="59" customWidth="1"/>
    <col min="6" max="6" width="16.7109375" style="59" hidden="1" customWidth="1"/>
    <col min="7" max="11" width="16.7109375" style="59" customWidth="1"/>
    <col min="12" max="12" width="20.42578125" style="59" bestFit="1" customWidth="1"/>
    <col min="13" max="13" width="9.140625" style="43" customWidth="1"/>
    <col min="14" max="701" width="9.140625" style="43"/>
    <col min="702" max="702" width="9.140625" style="43" customWidth="1"/>
    <col min="703" max="16384" width="9.140625" style="43"/>
  </cols>
  <sheetData>
    <row r="1" spans="1:15" ht="39.950000000000003" customHeight="1" x14ac:dyDescent="0.25">
      <c r="A1" s="234" t="s">
        <v>70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</row>
    <row r="2" spans="1:15" ht="15" customHeight="1" x14ac:dyDescent="0.25">
      <c r="A2" s="43" t="s">
        <v>36</v>
      </c>
      <c r="B2" s="43" t="s">
        <v>37</v>
      </c>
      <c r="C2" s="43" t="s">
        <v>38</v>
      </c>
      <c r="D2" s="43" t="s">
        <v>39</v>
      </c>
      <c r="E2" s="43" t="s">
        <v>40</v>
      </c>
      <c r="F2" s="43" t="s">
        <v>65</v>
      </c>
      <c r="G2" s="43" t="s">
        <v>41</v>
      </c>
      <c r="H2" s="43" t="s">
        <v>42</v>
      </c>
      <c r="I2" s="43" t="s">
        <v>43</v>
      </c>
      <c r="J2" s="43" t="s">
        <v>44</v>
      </c>
      <c r="K2" s="43" t="s">
        <v>45</v>
      </c>
      <c r="L2" s="58"/>
    </row>
    <row r="3" spans="1:15" ht="18" customHeight="1" x14ac:dyDescent="0.25">
      <c r="A3" s="43" t="s">
        <v>148</v>
      </c>
      <c r="B3" s="43" t="s">
        <v>161</v>
      </c>
      <c r="C3" s="43" t="s">
        <v>11</v>
      </c>
      <c r="D3" s="43">
        <v>10743677</v>
      </c>
      <c r="E3" s="43">
        <v>2343515</v>
      </c>
      <c r="F3" s="43"/>
      <c r="G3" s="43">
        <v>9402</v>
      </c>
      <c r="H3" s="43" t="s">
        <v>160</v>
      </c>
      <c r="I3" s="59">
        <v>0.625</v>
      </c>
      <c r="J3" s="43" t="s">
        <v>146</v>
      </c>
      <c r="K3" s="43" t="s">
        <v>141</v>
      </c>
      <c r="L3" s="58"/>
    </row>
    <row r="4" spans="1:15" ht="15" customHeight="1" x14ac:dyDescent="0.25">
      <c r="A4" s="60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</row>
    <row r="5" spans="1:15" ht="32.1" customHeight="1" x14ac:dyDescent="0.25">
      <c r="A5" s="234" t="s">
        <v>135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  <c r="L5" s="234"/>
    </row>
    <row r="6" spans="1:15" ht="15" customHeight="1" x14ac:dyDescent="0.25">
      <c r="A6" s="62" t="s">
        <v>56</v>
      </c>
      <c r="B6" s="63" t="s">
        <v>55</v>
      </c>
      <c r="C6" s="43" t="s">
        <v>136</v>
      </c>
      <c r="D6" s="43" t="s">
        <v>137</v>
      </c>
      <c r="E6" s="43" t="s">
        <v>15</v>
      </c>
      <c r="F6" s="43" t="s">
        <v>65</v>
      </c>
      <c r="G6" s="43" t="s">
        <v>16</v>
      </c>
      <c r="H6" s="43" t="s">
        <v>45</v>
      </c>
      <c r="I6" s="43" t="s">
        <v>138</v>
      </c>
      <c r="J6" s="43" t="s">
        <v>139</v>
      </c>
      <c r="K6" s="58"/>
      <c r="L6" s="58"/>
    </row>
    <row r="7" spans="1:15" ht="15" customHeight="1" x14ac:dyDescent="0.25">
      <c r="A7" s="43">
        <v>501893</v>
      </c>
      <c r="B7" s="43" t="s">
        <v>143</v>
      </c>
      <c r="C7" s="43" t="s">
        <v>160</v>
      </c>
      <c r="D7" s="64">
        <v>0.625</v>
      </c>
      <c r="E7" s="43" t="s">
        <v>162</v>
      </c>
      <c r="F7" s="43"/>
      <c r="G7" s="64">
        <v>0.79166666666666663</v>
      </c>
      <c r="H7" s="43" t="s">
        <v>141</v>
      </c>
      <c r="J7" s="64" t="s">
        <v>140</v>
      </c>
      <c r="K7" s="58"/>
      <c r="L7" s="58"/>
    </row>
    <row r="8" spans="1:15" ht="15" customHeight="1" x14ac:dyDescent="0.25">
      <c r="A8" s="43"/>
      <c r="B8" s="43"/>
      <c r="C8" s="43"/>
      <c r="D8" s="43"/>
      <c r="E8" s="43"/>
      <c r="F8" s="43"/>
      <c r="G8" s="43"/>
      <c r="H8" s="43"/>
      <c r="J8" s="43"/>
      <c r="K8" s="43"/>
      <c r="L8" s="43"/>
    </row>
    <row r="9" spans="1:15" s="61" customFormat="1" ht="32.1" customHeight="1" x14ac:dyDescent="0.25">
      <c r="A9" s="234" t="s">
        <v>142</v>
      </c>
      <c r="B9" s="234"/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43"/>
      <c r="N9" s="43"/>
      <c r="O9" s="43"/>
    </row>
    <row r="10" spans="1:15" ht="32.1" customHeight="1" x14ac:dyDescent="0.25">
      <c r="A10" s="62" t="s">
        <v>56</v>
      </c>
      <c r="B10" s="63" t="s">
        <v>55</v>
      </c>
      <c r="C10" s="43" t="s">
        <v>36</v>
      </c>
      <c r="D10" s="43" t="s">
        <v>69</v>
      </c>
      <c r="E10" s="43" t="s">
        <v>66</v>
      </c>
      <c r="F10" s="43" t="s">
        <v>67</v>
      </c>
      <c r="G10" s="43" t="s">
        <v>60</v>
      </c>
      <c r="H10" s="43" t="s">
        <v>15</v>
      </c>
      <c r="I10" s="43" t="s">
        <v>61</v>
      </c>
      <c r="J10" s="43" t="s">
        <v>16</v>
      </c>
      <c r="K10" s="43" t="s">
        <v>68</v>
      </c>
      <c r="L10" s="43" t="s">
        <v>62</v>
      </c>
    </row>
    <row r="11" spans="1:15" s="68" customFormat="1" ht="17.100000000000001" customHeight="1" x14ac:dyDescent="0.25">
      <c r="A11" s="67">
        <v>501306</v>
      </c>
      <c r="B11" s="67" t="s">
        <v>163</v>
      </c>
      <c r="C11" s="67" t="s">
        <v>148</v>
      </c>
      <c r="D11" s="67">
        <v>2343515</v>
      </c>
      <c r="E11" s="67" t="s">
        <v>164</v>
      </c>
      <c r="F11" s="67" t="s">
        <v>164</v>
      </c>
      <c r="G11" s="67" t="s">
        <v>165</v>
      </c>
      <c r="H11" s="67" t="s">
        <v>165</v>
      </c>
      <c r="I11" s="69">
        <v>0.75</v>
      </c>
      <c r="J11" s="69">
        <v>0.98958333333333337</v>
      </c>
      <c r="K11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0.23958333333333337</v>
      </c>
      <c r="L11" s="67" t="s">
        <v>152</v>
      </c>
    </row>
    <row r="12" spans="1:15" s="68" customFormat="1" ht="17.100000000000001" customHeight="1" x14ac:dyDescent="0.25">
      <c r="A12" s="67">
        <v>501893</v>
      </c>
      <c r="B12" s="67" t="s">
        <v>149</v>
      </c>
      <c r="C12" s="67" t="s">
        <v>148</v>
      </c>
      <c r="D12" s="67">
        <v>2343515</v>
      </c>
      <c r="E12" s="67" t="s">
        <v>166</v>
      </c>
      <c r="F12" s="67" t="s">
        <v>166</v>
      </c>
      <c r="G12" s="67" t="s">
        <v>164</v>
      </c>
      <c r="H12" s="67" t="s">
        <v>164</v>
      </c>
      <c r="I12" s="69">
        <v>0.625</v>
      </c>
      <c r="J12" s="69">
        <v>0.82291666666666663</v>
      </c>
      <c r="K12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0.19791666666666663</v>
      </c>
      <c r="L12" s="67" t="s">
        <v>152</v>
      </c>
    </row>
    <row r="13" spans="1:15" s="68" customFormat="1" ht="17.100000000000001" customHeight="1" x14ac:dyDescent="0.25">
      <c r="A13" s="67">
        <v>501893</v>
      </c>
      <c r="B13" s="67" t="s">
        <v>149</v>
      </c>
      <c r="C13" s="67" t="s">
        <v>148</v>
      </c>
      <c r="D13" s="67">
        <v>2343515</v>
      </c>
      <c r="E13" s="67" t="s">
        <v>166</v>
      </c>
      <c r="F13" s="67" t="s">
        <v>166</v>
      </c>
      <c r="G13" s="67" t="s">
        <v>164</v>
      </c>
      <c r="H13" s="67" t="s">
        <v>164</v>
      </c>
      <c r="I13" s="69">
        <v>0.91666666666666663</v>
      </c>
      <c r="J13" s="69">
        <v>0.98958333333333337</v>
      </c>
      <c r="K13" s="69">
        <f>IF(Tabela2234[[#This Row],[Data Inicial]]=Tabela2234[[#This Row],[Data Final]],Tabela2234[[#This Row],[Hora Final]]-Tabela2234[[#This Row],[Hora Inicial]],"24:00:00"-Tabela2234[[#This Row],[Hora Inicial]]+Tabela2234[[#This Row],[Hora Final]])</f>
        <v>7.2916666666666741E-2</v>
      </c>
      <c r="L13" s="67" t="s">
        <v>152</v>
      </c>
    </row>
    <row r="14" spans="1:15" s="68" customFormat="1" ht="17.100000000000001" customHeight="1" x14ac:dyDescent="0.25">
      <c r="A14" s="67">
        <v>503582</v>
      </c>
      <c r="B14" s="67" t="s">
        <v>167</v>
      </c>
      <c r="C14" s="67" t="s">
        <v>148</v>
      </c>
      <c r="D14" s="67">
        <v>2343515</v>
      </c>
      <c r="E14" s="67" t="s">
        <v>166</v>
      </c>
      <c r="F14" s="67" t="s">
        <v>166</v>
      </c>
      <c r="G14" s="67" t="s">
        <v>168</v>
      </c>
      <c r="H14" s="67" t="s">
        <v>168</v>
      </c>
      <c r="I14" s="69">
        <v>0.625</v>
      </c>
      <c r="J14" s="69">
        <v>0.6875</v>
      </c>
      <c r="K14" s="69">
        <f>IF(Tabela2234[[#This Row],[Data Inicial]]=Tabela2234[[#This Row],[Data Final]],Tabela2234[[#This Row],[Hora Final]]-Tabela2234[[#This Row],[Hora Inicial]],"24:00:00"-Tabela2234[[#This Row],[Hora Inicial]]+Tabela2234[[#This Row],[Hora Final]])</f>
        <v>6.25E-2</v>
      </c>
      <c r="L14" s="67" t="s">
        <v>152</v>
      </c>
    </row>
    <row r="15" spans="1:15" s="68" customFormat="1" ht="17.100000000000001" customHeight="1" x14ac:dyDescent="0.25">
      <c r="A15" s="67">
        <v>501893</v>
      </c>
      <c r="B15" s="67" t="s">
        <v>149</v>
      </c>
      <c r="C15" s="67" t="s">
        <v>148</v>
      </c>
      <c r="D15" s="67">
        <v>2343515</v>
      </c>
      <c r="E15" s="67" t="s">
        <v>166</v>
      </c>
      <c r="F15" s="67" t="s">
        <v>166</v>
      </c>
      <c r="G15" s="67" t="s">
        <v>168</v>
      </c>
      <c r="H15" s="67" t="s">
        <v>168</v>
      </c>
      <c r="I15" s="69">
        <v>0.625</v>
      </c>
      <c r="J15" s="69">
        <v>0.98958333333333337</v>
      </c>
      <c r="K15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15" s="67" t="s">
        <v>152</v>
      </c>
    </row>
    <row r="16" spans="1:15" s="68" customFormat="1" ht="17.100000000000001" customHeight="1" x14ac:dyDescent="0.25">
      <c r="A16" s="67">
        <v>501893</v>
      </c>
      <c r="B16" s="67" t="s">
        <v>149</v>
      </c>
      <c r="C16" s="67" t="s">
        <v>148</v>
      </c>
      <c r="D16" s="67">
        <v>2343515</v>
      </c>
      <c r="E16" s="67" t="s">
        <v>166</v>
      </c>
      <c r="F16" s="67" t="s">
        <v>166</v>
      </c>
      <c r="G16" s="67" t="s">
        <v>166</v>
      </c>
      <c r="H16" s="67" t="s">
        <v>166</v>
      </c>
      <c r="I16" s="69">
        <v>0.625</v>
      </c>
      <c r="J16" s="69">
        <v>0.875</v>
      </c>
      <c r="K16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0.25</v>
      </c>
      <c r="L16" s="67" t="s">
        <v>152</v>
      </c>
    </row>
    <row r="17" spans="1:12" s="68" customFormat="1" ht="17.100000000000001" customHeight="1" x14ac:dyDescent="0.25">
      <c r="A17" s="67">
        <v>501893</v>
      </c>
      <c r="B17" s="67" t="s">
        <v>149</v>
      </c>
      <c r="C17" s="67" t="s">
        <v>148</v>
      </c>
      <c r="D17" s="67">
        <v>2343515</v>
      </c>
      <c r="E17" s="67" t="s">
        <v>169</v>
      </c>
      <c r="F17" s="67" t="s">
        <v>169</v>
      </c>
      <c r="G17" s="67" t="s">
        <v>170</v>
      </c>
      <c r="H17" s="67" t="s">
        <v>170</v>
      </c>
      <c r="I17" s="69">
        <v>0.41666666666666669</v>
      </c>
      <c r="J17" s="69">
        <v>0.83333333333333337</v>
      </c>
      <c r="K17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0.41666666666666669</v>
      </c>
      <c r="L17" s="67" t="s">
        <v>152</v>
      </c>
    </row>
    <row r="18" spans="1:12" s="68" customFormat="1" ht="17.100000000000001" customHeight="1" x14ac:dyDescent="0.25">
      <c r="A18" s="67">
        <v>501893</v>
      </c>
      <c r="B18" s="67" t="s">
        <v>149</v>
      </c>
      <c r="C18" s="67" t="s">
        <v>148</v>
      </c>
      <c r="D18" s="67">
        <v>2343515</v>
      </c>
      <c r="E18" s="67" t="s">
        <v>169</v>
      </c>
      <c r="F18" s="67" t="s">
        <v>169</v>
      </c>
      <c r="G18" s="67" t="s">
        <v>171</v>
      </c>
      <c r="H18" s="67" t="s">
        <v>171</v>
      </c>
      <c r="I18" s="69">
        <v>0.625</v>
      </c>
      <c r="J18" s="69">
        <v>0.98958333333333337</v>
      </c>
      <c r="K18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18" s="67" t="s">
        <v>152</v>
      </c>
    </row>
    <row r="19" spans="1:12" s="68" customFormat="1" ht="17.100000000000001" customHeight="1" x14ac:dyDescent="0.25">
      <c r="A19" s="67">
        <v>501313</v>
      </c>
      <c r="B19" s="67" t="s">
        <v>172</v>
      </c>
      <c r="C19" s="67" t="s">
        <v>148</v>
      </c>
      <c r="D19" s="67">
        <v>2343515</v>
      </c>
      <c r="E19" s="67" t="s">
        <v>173</v>
      </c>
      <c r="F19" s="67" t="s">
        <v>173</v>
      </c>
      <c r="G19" s="67" t="s">
        <v>171</v>
      </c>
      <c r="H19" s="67" t="s">
        <v>171</v>
      </c>
      <c r="I19" s="69">
        <v>0.9375</v>
      </c>
      <c r="J19" s="69">
        <v>0.98958333333333337</v>
      </c>
      <c r="K19" s="69">
        <f>IF(Tabela2234[[#This Row],[Data Inicial]]=Tabela2234[[#This Row],[Data Final]],Tabela2234[[#This Row],[Hora Final]]-Tabela2234[[#This Row],[Hora Inicial]],"24:00:00"-Tabela2234[[#This Row],[Hora Inicial]]+Tabela2234[[#This Row],[Hora Final]])</f>
        <v>5.208333333333337E-2</v>
      </c>
      <c r="L19" s="67" t="s">
        <v>152</v>
      </c>
    </row>
    <row r="20" spans="1:12" s="68" customFormat="1" ht="17.100000000000001" customHeight="1" x14ac:dyDescent="0.25">
      <c r="A20" s="67">
        <v>501722</v>
      </c>
      <c r="B20" s="67" t="s">
        <v>174</v>
      </c>
      <c r="C20" s="67" t="s">
        <v>148</v>
      </c>
      <c r="D20" s="67">
        <v>2343515</v>
      </c>
      <c r="E20" s="67" t="s">
        <v>173</v>
      </c>
      <c r="F20" s="67" t="s">
        <v>173</v>
      </c>
      <c r="G20" s="67" t="s">
        <v>171</v>
      </c>
      <c r="H20" s="67" t="s">
        <v>171</v>
      </c>
      <c r="I20" s="69">
        <v>0.625</v>
      </c>
      <c r="J20" s="69">
        <v>0.70833333333333337</v>
      </c>
      <c r="K20" s="69">
        <f>IF(Tabela2234[[#This Row],[Data Inicial]]=Tabela2234[[#This Row],[Data Final]],Tabela2234[[#This Row],[Hora Final]]-Tabela2234[[#This Row],[Hora Inicial]],"24:00:00"-Tabela2234[[#This Row],[Hora Inicial]]+Tabela2234[[#This Row],[Hora Final]])</f>
        <v>8.333333333333337E-2</v>
      </c>
      <c r="L20" s="67" t="s">
        <v>152</v>
      </c>
    </row>
    <row r="21" spans="1:12" s="68" customFormat="1" ht="17.100000000000001" customHeight="1" x14ac:dyDescent="0.25">
      <c r="A21" s="67">
        <v>501893</v>
      </c>
      <c r="B21" s="67" t="s">
        <v>149</v>
      </c>
      <c r="C21" s="67" t="s">
        <v>148</v>
      </c>
      <c r="D21" s="67">
        <v>2343515</v>
      </c>
      <c r="E21" s="67" t="s">
        <v>169</v>
      </c>
      <c r="F21" s="67" t="s">
        <v>169</v>
      </c>
      <c r="G21" s="67" t="s">
        <v>175</v>
      </c>
      <c r="H21" s="67" t="s">
        <v>175</v>
      </c>
      <c r="I21" s="69">
        <v>0.625</v>
      </c>
      <c r="J21" s="69">
        <v>0.75069444444444444</v>
      </c>
      <c r="K21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0.12569444444444444</v>
      </c>
      <c r="L21" s="67" t="s">
        <v>152</v>
      </c>
    </row>
    <row r="22" spans="1:12" s="68" customFormat="1" ht="17.100000000000001" customHeight="1" x14ac:dyDescent="0.25">
      <c r="A22" s="67">
        <v>501893</v>
      </c>
      <c r="B22" s="67" t="s">
        <v>149</v>
      </c>
      <c r="C22" s="67" t="s">
        <v>148</v>
      </c>
      <c r="D22" s="67">
        <v>2343515</v>
      </c>
      <c r="E22" s="67" t="s">
        <v>169</v>
      </c>
      <c r="F22" s="67" t="s">
        <v>169</v>
      </c>
      <c r="G22" s="67" t="s">
        <v>175</v>
      </c>
      <c r="H22" s="67" t="s">
        <v>175</v>
      </c>
      <c r="I22" s="69">
        <v>0.83333333333333337</v>
      </c>
      <c r="J22" s="69">
        <v>0.98958333333333337</v>
      </c>
      <c r="K22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0.15625</v>
      </c>
      <c r="L22" s="67" t="s">
        <v>152</v>
      </c>
    </row>
    <row r="23" spans="1:12" s="68" customFormat="1" ht="17.100000000000001" customHeight="1" x14ac:dyDescent="0.25">
      <c r="A23" s="67">
        <v>501722</v>
      </c>
      <c r="B23" s="67" t="s">
        <v>174</v>
      </c>
      <c r="C23" s="67" t="s">
        <v>148</v>
      </c>
      <c r="D23" s="67">
        <v>2343515</v>
      </c>
      <c r="E23" s="67" t="s">
        <v>173</v>
      </c>
      <c r="F23" s="67" t="s">
        <v>173</v>
      </c>
      <c r="G23" s="67" t="s">
        <v>175</v>
      </c>
      <c r="H23" s="67" t="s">
        <v>175</v>
      </c>
      <c r="I23" s="69">
        <v>0.64583333333333337</v>
      </c>
      <c r="J23" s="69">
        <v>0.77083333333333337</v>
      </c>
      <c r="K23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0.125</v>
      </c>
      <c r="L23" s="67" t="s">
        <v>152</v>
      </c>
    </row>
    <row r="24" spans="1:12" s="68" customFormat="1" ht="17.100000000000001" customHeight="1" x14ac:dyDescent="0.25">
      <c r="A24" s="67">
        <v>501893</v>
      </c>
      <c r="B24" s="67" t="s">
        <v>149</v>
      </c>
      <c r="C24" s="67" t="s">
        <v>148</v>
      </c>
      <c r="D24" s="67">
        <v>2343515</v>
      </c>
      <c r="E24" s="67" t="s">
        <v>169</v>
      </c>
      <c r="F24" s="67" t="s">
        <v>169</v>
      </c>
      <c r="G24" s="67" t="s">
        <v>176</v>
      </c>
      <c r="H24" s="67" t="s">
        <v>176</v>
      </c>
      <c r="I24" s="69">
        <v>0.625</v>
      </c>
      <c r="J24" s="69">
        <v>0.98958333333333337</v>
      </c>
      <c r="K24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24" s="67" t="s">
        <v>152</v>
      </c>
    </row>
    <row r="25" spans="1:12" s="68" customFormat="1" ht="17.100000000000001" customHeight="1" x14ac:dyDescent="0.25">
      <c r="A25" s="67">
        <v>501722</v>
      </c>
      <c r="B25" s="67" t="s">
        <v>174</v>
      </c>
      <c r="C25" s="67" t="s">
        <v>148</v>
      </c>
      <c r="D25" s="67">
        <v>2343515</v>
      </c>
      <c r="E25" s="67" t="s">
        <v>173</v>
      </c>
      <c r="F25" s="67" t="s">
        <v>173</v>
      </c>
      <c r="G25" s="67" t="s">
        <v>176</v>
      </c>
      <c r="H25" s="67" t="s">
        <v>176</v>
      </c>
      <c r="I25" s="69">
        <v>0.66666666666666663</v>
      </c>
      <c r="J25" s="69">
        <v>0.95833333333333337</v>
      </c>
      <c r="K25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0.29166666666666674</v>
      </c>
      <c r="L25" s="67" t="s">
        <v>152</v>
      </c>
    </row>
    <row r="26" spans="1:12" s="68" customFormat="1" ht="17.100000000000001" customHeight="1" x14ac:dyDescent="0.25">
      <c r="A26" s="67">
        <v>501893</v>
      </c>
      <c r="B26" s="67" t="s">
        <v>149</v>
      </c>
      <c r="C26" s="67" t="s">
        <v>148</v>
      </c>
      <c r="D26" s="67">
        <v>2343515</v>
      </c>
      <c r="E26" s="67" t="s">
        <v>169</v>
      </c>
      <c r="F26" s="67" t="s">
        <v>169</v>
      </c>
      <c r="G26" s="67" t="s">
        <v>177</v>
      </c>
      <c r="H26" s="67" t="s">
        <v>177</v>
      </c>
      <c r="I26" s="69">
        <v>0.75</v>
      </c>
      <c r="J26" s="69">
        <v>0.98958333333333337</v>
      </c>
      <c r="K26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0.23958333333333337</v>
      </c>
      <c r="L26" s="67" t="s">
        <v>152</v>
      </c>
    </row>
    <row r="27" spans="1:12" s="68" customFormat="1" ht="17.100000000000001" customHeight="1" x14ac:dyDescent="0.25">
      <c r="A27" s="67">
        <v>501893</v>
      </c>
      <c r="B27" s="67" t="s">
        <v>149</v>
      </c>
      <c r="C27" s="67" t="s">
        <v>148</v>
      </c>
      <c r="D27" s="67">
        <v>2343515</v>
      </c>
      <c r="E27" s="67" t="s">
        <v>169</v>
      </c>
      <c r="F27" s="67" t="s">
        <v>169</v>
      </c>
      <c r="G27" s="67" t="s">
        <v>178</v>
      </c>
      <c r="H27" s="67" t="s">
        <v>178</v>
      </c>
      <c r="I27" s="69">
        <v>0.5</v>
      </c>
      <c r="J27" s="69">
        <v>0.84027777777777779</v>
      </c>
      <c r="K27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0.34027777777777779</v>
      </c>
      <c r="L27" s="67" t="s">
        <v>152</v>
      </c>
    </row>
    <row r="28" spans="1:12" s="68" customFormat="1" ht="17.100000000000001" customHeight="1" x14ac:dyDescent="0.25">
      <c r="A28" s="67">
        <v>501893</v>
      </c>
      <c r="B28" s="67" t="s">
        <v>149</v>
      </c>
      <c r="C28" s="67" t="s">
        <v>148</v>
      </c>
      <c r="D28" s="67">
        <v>2343515</v>
      </c>
      <c r="E28" s="67" t="s">
        <v>169</v>
      </c>
      <c r="F28" s="67" t="s">
        <v>169</v>
      </c>
      <c r="G28" s="67" t="s">
        <v>179</v>
      </c>
      <c r="H28" s="67" t="s">
        <v>179</v>
      </c>
      <c r="I28" s="69">
        <v>0.625</v>
      </c>
      <c r="J28" s="69">
        <v>0.71597222222222223</v>
      </c>
      <c r="K28" s="69">
        <f>IF(Tabela2234[[#This Row],[Data Inicial]]=Tabela2234[[#This Row],[Data Final]],Tabela2234[[#This Row],[Hora Final]]-Tabela2234[[#This Row],[Hora Inicial]],"24:00:00"-Tabela2234[[#This Row],[Hora Inicial]]+Tabela2234[[#This Row],[Hora Final]])</f>
        <v>9.0972222222222232E-2</v>
      </c>
      <c r="L28" s="67" t="s">
        <v>152</v>
      </c>
    </row>
    <row r="29" spans="1:12" s="68" customFormat="1" ht="17.100000000000001" customHeight="1" x14ac:dyDescent="0.25">
      <c r="A29" s="67">
        <v>501893</v>
      </c>
      <c r="B29" s="67" t="s">
        <v>149</v>
      </c>
      <c r="C29" s="67" t="s">
        <v>148</v>
      </c>
      <c r="D29" s="67">
        <v>2343515</v>
      </c>
      <c r="E29" s="67" t="s">
        <v>169</v>
      </c>
      <c r="F29" s="67" t="s">
        <v>169</v>
      </c>
      <c r="G29" s="67" t="s">
        <v>179</v>
      </c>
      <c r="H29" s="67" t="s">
        <v>179</v>
      </c>
      <c r="I29" s="69">
        <v>0.83333333333333337</v>
      </c>
      <c r="J29" s="69">
        <v>0.98958333333333337</v>
      </c>
      <c r="K29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0.15625</v>
      </c>
      <c r="L29" s="67" t="s">
        <v>152</v>
      </c>
    </row>
    <row r="30" spans="1:12" s="68" customFormat="1" ht="17.100000000000001" customHeight="1" x14ac:dyDescent="0.25">
      <c r="A30" s="67">
        <v>501722</v>
      </c>
      <c r="B30" s="67" t="s">
        <v>174</v>
      </c>
      <c r="C30" s="67" t="s">
        <v>148</v>
      </c>
      <c r="D30" s="67">
        <v>2343515</v>
      </c>
      <c r="E30" s="67" t="s">
        <v>173</v>
      </c>
      <c r="F30" s="67" t="s">
        <v>173</v>
      </c>
      <c r="G30" s="67" t="s">
        <v>180</v>
      </c>
      <c r="H30" s="67" t="s">
        <v>180</v>
      </c>
      <c r="I30" s="69">
        <v>0.62847222222222221</v>
      </c>
      <c r="J30" s="69">
        <v>0.83333333333333337</v>
      </c>
      <c r="K30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0.20486111111111116</v>
      </c>
      <c r="L30" s="67" t="s">
        <v>152</v>
      </c>
    </row>
    <row r="31" spans="1:12" s="68" customFormat="1" ht="17.100000000000001" customHeight="1" x14ac:dyDescent="0.25">
      <c r="A31" s="67">
        <v>501722</v>
      </c>
      <c r="B31" s="67" t="s">
        <v>174</v>
      </c>
      <c r="C31" s="67" t="s">
        <v>148</v>
      </c>
      <c r="D31" s="67">
        <v>2343515</v>
      </c>
      <c r="E31" s="67" t="s">
        <v>173</v>
      </c>
      <c r="F31" s="67" t="s">
        <v>173</v>
      </c>
      <c r="G31" s="67" t="s">
        <v>181</v>
      </c>
      <c r="H31" s="67" t="s">
        <v>181</v>
      </c>
      <c r="I31" s="69">
        <v>0.64583333333333337</v>
      </c>
      <c r="J31" s="69">
        <v>0.875</v>
      </c>
      <c r="K31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0.22916666666666663</v>
      </c>
      <c r="L31" s="67" t="s">
        <v>152</v>
      </c>
    </row>
    <row r="32" spans="1:12" s="68" customFormat="1" ht="17.100000000000001" customHeight="1" x14ac:dyDescent="0.25">
      <c r="A32" s="67">
        <v>501893</v>
      </c>
      <c r="B32" s="67" t="s">
        <v>149</v>
      </c>
      <c r="C32" s="67" t="s">
        <v>148</v>
      </c>
      <c r="D32" s="67">
        <v>2343515</v>
      </c>
      <c r="E32" s="67" t="s">
        <v>182</v>
      </c>
      <c r="F32" s="67" t="s">
        <v>182</v>
      </c>
      <c r="G32" s="67" t="s">
        <v>183</v>
      </c>
      <c r="H32" s="67" t="s">
        <v>183</v>
      </c>
      <c r="I32" s="69">
        <v>0.625</v>
      </c>
      <c r="J32" s="69">
        <v>0.98958333333333337</v>
      </c>
      <c r="K32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32" s="67" t="s">
        <v>152</v>
      </c>
    </row>
    <row r="33" spans="1:12" s="68" customFormat="1" ht="17.100000000000001" customHeight="1" x14ac:dyDescent="0.25">
      <c r="A33" s="67">
        <v>501893</v>
      </c>
      <c r="B33" s="67" t="s">
        <v>149</v>
      </c>
      <c r="C33" s="67" t="s">
        <v>148</v>
      </c>
      <c r="D33" s="67">
        <v>2343515</v>
      </c>
      <c r="E33" s="67" t="s">
        <v>182</v>
      </c>
      <c r="F33" s="67" t="s">
        <v>182</v>
      </c>
      <c r="G33" s="67" t="s">
        <v>184</v>
      </c>
      <c r="H33" s="67" t="s">
        <v>184</v>
      </c>
      <c r="I33" s="69">
        <v>0.625</v>
      </c>
      <c r="J33" s="69">
        <v>0.84722222222222221</v>
      </c>
      <c r="K33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0.22222222222222221</v>
      </c>
      <c r="L33" s="67" t="s">
        <v>152</v>
      </c>
    </row>
    <row r="34" spans="1:12" s="68" customFormat="1" ht="17.100000000000001" customHeight="1" x14ac:dyDescent="0.25">
      <c r="A34" s="67">
        <v>501893</v>
      </c>
      <c r="B34" s="67" t="s">
        <v>149</v>
      </c>
      <c r="C34" s="67" t="s">
        <v>148</v>
      </c>
      <c r="D34" s="67">
        <v>2343515</v>
      </c>
      <c r="E34" s="67" t="s">
        <v>182</v>
      </c>
      <c r="F34" s="67" t="s">
        <v>182</v>
      </c>
      <c r="G34" s="67" t="s">
        <v>184</v>
      </c>
      <c r="H34" s="67" t="s">
        <v>184</v>
      </c>
      <c r="I34" s="69">
        <v>0.89583333333333337</v>
      </c>
      <c r="J34" s="69">
        <v>0.98958333333333337</v>
      </c>
      <c r="K34" s="69">
        <f>IF(Tabela2234[[#This Row],[Data Inicial]]=Tabela2234[[#This Row],[Data Final]],Tabela2234[[#This Row],[Hora Final]]-Tabela2234[[#This Row],[Hora Inicial]],"24:00:00"-Tabela2234[[#This Row],[Hora Inicial]]+Tabela2234[[#This Row],[Hora Final]])</f>
        <v>9.375E-2</v>
      </c>
      <c r="L34" s="67" t="s">
        <v>152</v>
      </c>
    </row>
    <row r="35" spans="1:12" s="68" customFormat="1" ht="17.100000000000001" customHeight="1" x14ac:dyDescent="0.25">
      <c r="A35" s="67">
        <v>501893</v>
      </c>
      <c r="B35" s="67" t="s">
        <v>149</v>
      </c>
      <c r="C35" s="67" t="s">
        <v>148</v>
      </c>
      <c r="D35" s="67">
        <v>2343515</v>
      </c>
      <c r="E35" s="67" t="s">
        <v>182</v>
      </c>
      <c r="F35" s="67" t="s">
        <v>182</v>
      </c>
      <c r="G35" s="67" t="s">
        <v>185</v>
      </c>
      <c r="H35" s="67" t="s">
        <v>185</v>
      </c>
      <c r="I35" s="69">
        <v>0.45833333333333331</v>
      </c>
      <c r="J35" s="69">
        <v>0.83333333333333337</v>
      </c>
      <c r="K35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0.37500000000000006</v>
      </c>
      <c r="L35" s="67" t="s">
        <v>152</v>
      </c>
    </row>
    <row r="36" spans="1:12" s="68" customFormat="1" ht="17.100000000000001" customHeight="1" x14ac:dyDescent="0.25">
      <c r="A36" s="67">
        <v>501893</v>
      </c>
      <c r="B36" s="67" t="s">
        <v>149</v>
      </c>
      <c r="C36" s="67" t="s">
        <v>148</v>
      </c>
      <c r="D36" s="67">
        <v>2343515</v>
      </c>
      <c r="E36" s="67" t="s">
        <v>182</v>
      </c>
      <c r="F36" s="67" t="s">
        <v>182</v>
      </c>
      <c r="G36" s="67" t="s">
        <v>186</v>
      </c>
      <c r="H36" s="67" t="s">
        <v>186</v>
      </c>
      <c r="I36" s="69">
        <v>0.625</v>
      </c>
      <c r="J36" s="69">
        <v>0.67361111111111116</v>
      </c>
      <c r="K36" s="69">
        <f>IF(Tabela2234[[#This Row],[Data Inicial]]=Tabela2234[[#This Row],[Data Final]],Tabela2234[[#This Row],[Hora Final]]-Tabela2234[[#This Row],[Hora Inicial]],"24:00:00"-Tabela2234[[#This Row],[Hora Inicial]]+Tabela2234[[#This Row],[Hora Final]])</f>
        <v>4.861111111111116E-2</v>
      </c>
      <c r="L36" s="67" t="s">
        <v>152</v>
      </c>
    </row>
    <row r="37" spans="1:12" s="68" customFormat="1" ht="17.100000000000001" customHeight="1" x14ac:dyDescent="0.25">
      <c r="A37" s="67">
        <v>501893</v>
      </c>
      <c r="B37" s="67" t="s">
        <v>149</v>
      </c>
      <c r="C37" s="67" t="s">
        <v>148</v>
      </c>
      <c r="D37" s="67">
        <v>2343515</v>
      </c>
      <c r="E37" s="67" t="s">
        <v>182</v>
      </c>
      <c r="F37" s="67" t="s">
        <v>182</v>
      </c>
      <c r="G37" s="67" t="s">
        <v>186</v>
      </c>
      <c r="H37" s="67" t="s">
        <v>186</v>
      </c>
      <c r="I37" s="69">
        <v>0.85416666666666663</v>
      </c>
      <c r="J37" s="69">
        <v>0.98958333333333337</v>
      </c>
      <c r="K37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0.13541666666666674</v>
      </c>
      <c r="L37" s="67" t="s">
        <v>152</v>
      </c>
    </row>
    <row r="38" spans="1:12" s="68" customFormat="1" ht="17.100000000000001" customHeight="1" x14ac:dyDescent="0.25">
      <c r="A38" s="67">
        <v>501893</v>
      </c>
      <c r="B38" s="67" t="s">
        <v>149</v>
      </c>
      <c r="C38" s="67" t="s">
        <v>148</v>
      </c>
      <c r="D38" s="67">
        <v>2343515</v>
      </c>
      <c r="E38" s="67" t="s">
        <v>182</v>
      </c>
      <c r="F38" s="67" t="s">
        <v>182</v>
      </c>
      <c r="G38" s="67" t="s">
        <v>187</v>
      </c>
      <c r="H38" s="67" t="s">
        <v>187</v>
      </c>
      <c r="I38" s="69">
        <v>0.625</v>
      </c>
      <c r="J38" s="69">
        <v>0.88541666666666663</v>
      </c>
      <c r="K38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0.26041666666666663</v>
      </c>
      <c r="L38" s="67" t="s">
        <v>152</v>
      </c>
    </row>
    <row r="39" spans="1:12" s="68" customFormat="1" ht="17.100000000000001" customHeight="1" x14ac:dyDescent="0.25">
      <c r="A39" s="67">
        <v>501893</v>
      </c>
      <c r="B39" s="67" t="s">
        <v>149</v>
      </c>
      <c r="C39" s="67" t="s">
        <v>148</v>
      </c>
      <c r="D39" s="67">
        <v>2343515</v>
      </c>
      <c r="E39" s="67" t="s">
        <v>182</v>
      </c>
      <c r="F39" s="67" t="s">
        <v>182</v>
      </c>
      <c r="G39" s="67" t="s">
        <v>187</v>
      </c>
      <c r="H39" s="67" t="s">
        <v>187</v>
      </c>
      <c r="I39" s="69">
        <v>0.91666666666666663</v>
      </c>
      <c r="J39" s="69">
        <v>0.98958333333333337</v>
      </c>
      <c r="K39" s="69">
        <f>IF(Tabela2234[[#This Row],[Data Inicial]]=Tabela2234[[#This Row],[Data Final]],Tabela2234[[#This Row],[Hora Final]]-Tabela2234[[#This Row],[Hora Inicial]],"24:00:00"-Tabela2234[[#This Row],[Hora Inicial]]+Tabela2234[[#This Row],[Hora Final]])</f>
        <v>7.2916666666666741E-2</v>
      </c>
      <c r="L39" s="67" t="s">
        <v>152</v>
      </c>
    </row>
    <row r="40" spans="1:12" s="68" customFormat="1" ht="17.100000000000001" customHeight="1" x14ac:dyDescent="0.25">
      <c r="A40" s="67">
        <v>501893</v>
      </c>
      <c r="B40" s="67" t="s">
        <v>149</v>
      </c>
      <c r="C40" s="67" t="s">
        <v>148</v>
      </c>
      <c r="D40" s="67">
        <v>2343515</v>
      </c>
      <c r="E40" s="67" t="s">
        <v>182</v>
      </c>
      <c r="F40" s="67" t="s">
        <v>182</v>
      </c>
      <c r="G40" s="67" t="s">
        <v>188</v>
      </c>
      <c r="H40" s="67" t="s">
        <v>188</v>
      </c>
      <c r="I40" s="69">
        <v>0.57152777777777775</v>
      </c>
      <c r="J40" s="69">
        <v>0.92013888888888884</v>
      </c>
      <c r="K40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0.34861111111111109</v>
      </c>
      <c r="L40" s="67" t="s">
        <v>152</v>
      </c>
    </row>
    <row r="41" spans="1:12" s="68" customFormat="1" ht="17.100000000000001" customHeight="1" x14ac:dyDescent="0.25">
      <c r="A41" s="67">
        <v>501893</v>
      </c>
      <c r="B41" s="67" t="s">
        <v>149</v>
      </c>
      <c r="C41" s="67" t="s">
        <v>148</v>
      </c>
      <c r="D41" s="67">
        <v>2343515</v>
      </c>
      <c r="E41" s="67" t="s">
        <v>189</v>
      </c>
      <c r="F41" s="67" t="s">
        <v>189</v>
      </c>
      <c r="G41" s="67" t="s">
        <v>190</v>
      </c>
      <c r="H41" s="67" t="s">
        <v>190</v>
      </c>
      <c r="I41" s="69">
        <v>0.625</v>
      </c>
      <c r="J41" s="69">
        <v>0.98958333333333337</v>
      </c>
      <c r="K41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41" s="67" t="s">
        <v>152</v>
      </c>
    </row>
    <row r="42" spans="1:12" s="68" customFormat="1" ht="17.100000000000001" customHeight="1" x14ac:dyDescent="0.25">
      <c r="A42" s="67">
        <v>501893</v>
      </c>
      <c r="B42" s="67" t="s">
        <v>149</v>
      </c>
      <c r="C42" s="67" t="s">
        <v>148</v>
      </c>
      <c r="D42" s="67">
        <v>2343515</v>
      </c>
      <c r="E42" s="67" t="s">
        <v>189</v>
      </c>
      <c r="F42" s="67" t="s">
        <v>189</v>
      </c>
      <c r="G42" s="67" t="s">
        <v>191</v>
      </c>
      <c r="H42" s="67" t="s">
        <v>191</v>
      </c>
      <c r="I42" s="69">
        <v>0.625</v>
      </c>
      <c r="J42" s="69">
        <v>0.98958333333333337</v>
      </c>
      <c r="K42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42" s="67" t="s">
        <v>152</v>
      </c>
    </row>
    <row r="43" spans="1:12" s="68" customFormat="1" ht="17.100000000000001" customHeight="1" x14ac:dyDescent="0.25">
      <c r="A43" s="67">
        <v>501893</v>
      </c>
      <c r="B43" s="67" t="s">
        <v>149</v>
      </c>
      <c r="C43" s="67" t="s">
        <v>148</v>
      </c>
      <c r="D43" s="67">
        <v>2343515</v>
      </c>
      <c r="E43" s="67" t="s">
        <v>189</v>
      </c>
      <c r="F43" s="67" t="s">
        <v>189</v>
      </c>
      <c r="G43" s="67" t="s">
        <v>192</v>
      </c>
      <c r="H43" s="67" t="s">
        <v>192</v>
      </c>
      <c r="I43" s="69">
        <v>0.625</v>
      </c>
      <c r="J43" s="69">
        <v>0.98958333333333337</v>
      </c>
      <c r="K43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43" s="67" t="s">
        <v>152</v>
      </c>
    </row>
    <row r="44" spans="1:12" s="68" customFormat="1" ht="17.100000000000001" customHeight="1" x14ac:dyDescent="0.25">
      <c r="A44" s="67">
        <v>501893</v>
      </c>
      <c r="B44" s="67" t="s">
        <v>149</v>
      </c>
      <c r="C44" s="67" t="s">
        <v>148</v>
      </c>
      <c r="D44" s="67">
        <v>2343515</v>
      </c>
      <c r="E44" s="67" t="s">
        <v>189</v>
      </c>
      <c r="F44" s="67" t="s">
        <v>189</v>
      </c>
      <c r="G44" s="67" t="s">
        <v>193</v>
      </c>
      <c r="H44" s="67" t="s">
        <v>193</v>
      </c>
      <c r="I44" s="69">
        <v>0.625</v>
      </c>
      <c r="J44" s="69">
        <v>0.98958333333333337</v>
      </c>
      <c r="K44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44" s="67" t="s">
        <v>152</v>
      </c>
    </row>
    <row r="45" spans="1:12" s="68" customFormat="1" ht="17.100000000000001" customHeight="1" x14ac:dyDescent="0.25">
      <c r="A45" s="67">
        <v>501893</v>
      </c>
      <c r="B45" s="67" t="s">
        <v>149</v>
      </c>
      <c r="C45" s="67" t="s">
        <v>148</v>
      </c>
      <c r="D45" s="67">
        <v>2343515</v>
      </c>
      <c r="E45" s="67" t="s">
        <v>189</v>
      </c>
      <c r="F45" s="67" t="s">
        <v>189</v>
      </c>
      <c r="G45" s="67" t="s">
        <v>194</v>
      </c>
      <c r="H45" s="67" t="s">
        <v>194</v>
      </c>
      <c r="I45" s="69">
        <v>0.625</v>
      </c>
      <c r="J45" s="69">
        <v>0.75</v>
      </c>
      <c r="K45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0.125</v>
      </c>
      <c r="L45" s="67" t="s">
        <v>152</v>
      </c>
    </row>
    <row r="46" spans="1:12" s="68" customFormat="1" ht="17.100000000000001" customHeight="1" x14ac:dyDescent="0.25">
      <c r="A46" s="67">
        <v>501893</v>
      </c>
      <c r="B46" s="67" t="s">
        <v>149</v>
      </c>
      <c r="C46" s="67" t="s">
        <v>148</v>
      </c>
      <c r="D46" s="67">
        <v>2343515</v>
      </c>
      <c r="E46" s="67" t="s">
        <v>189</v>
      </c>
      <c r="F46" s="67" t="s">
        <v>189</v>
      </c>
      <c r="G46" s="67" t="s">
        <v>194</v>
      </c>
      <c r="H46" s="67" t="s">
        <v>194</v>
      </c>
      <c r="I46" s="69">
        <v>0.79166666666666663</v>
      </c>
      <c r="J46" s="69">
        <v>0.98958333333333337</v>
      </c>
      <c r="K46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0.19791666666666674</v>
      </c>
      <c r="L46" s="67" t="s">
        <v>152</v>
      </c>
    </row>
    <row r="47" spans="1:12" s="68" customFormat="1" ht="17.100000000000001" customHeight="1" x14ac:dyDescent="0.25">
      <c r="A47" s="67">
        <v>501893</v>
      </c>
      <c r="B47" s="67" t="s">
        <v>149</v>
      </c>
      <c r="C47" s="67" t="s">
        <v>148</v>
      </c>
      <c r="D47" s="67">
        <v>2343515</v>
      </c>
      <c r="E47" s="67" t="s">
        <v>189</v>
      </c>
      <c r="F47" s="67" t="s">
        <v>189</v>
      </c>
      <c r="G47" s="67" t="s">
        <v>195</v>
      </c>
      <c r="H47" s="67" t="s">
        <v>195</v>
      </c>
      <c r="I47" s="69">
        <v>0.625</v>
      </c>
      <c r="J47" s="69">
        <v>0.98958333333333337</v>
      </c>
      <c r="K47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47" s="67" t="s">
        <v>152</v>
      </c>
    </row>
    <row r="48" spans="1:12" s="68" customFormat="1" ht="17.100000000000001" customHeight="1" x14ac:dyDescent="0.25">
      <c r="A48" s="67">
        <v>501893</v>
      </c>
      <c r="B48" s="67" t="s">
        <v>149</v>
      </c>
      <c r="C48" s="67" t="s">
        <v>148</v>
      </c>
      <c r="D48" s="67">
        <v>2343515</v>
      </c>
      <c r="E48" s="67" t="s">
        <v>189</v>
      </c>
      <c r="F48" s="67" t="s">
        <v>189</v>
      </c>
      <c r="G48" s="67" t="s">
        <v>196</v>
      </c>
      <c r="H48" s="67" t="s">
        <v>196</v>
      </c>
      <c r="I48" s="69">
        <v>0.625</v>
      </c>
      <c r="J48" s="69">
        <v>0.98958333333333337</v>
      </c>
      <c r="K48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48" s="67" t="s">
        <v>152</v>
      </c>
    </row>
    <row r="49" spans="1:12" s="68" customFormat="1" ht="17.100000000000001" customHeight="1" x14ac:dyDescent="0.25">
      <c r="A49" s="67">
        <v>501893</v>
      </c>
      <c r="B49" s="67" t="s">
        <v>149</v>
      </c>
      <c r="C49" s="67" t="s">
        <v>148</v>
      </c>
      <c r="D49" s="67">
        <v>2343515</v>
      </c>
      <c r="E49" s="67" t="s">
        <v>189</v>
      </c>
      <c r="F49" s="67" t="s">
        <v>189</v>
      </c>
      <c r="G49" s="67" t="s">
        <v>197</v>
      </c>
      <c r="H49" s="67" t="s">
        <v>197</v>
      </c>
      <c r="I49" s="69">
        <v>0.625</v>
      </c>
      <c r="J49" s="69">
        <v>0.98958333333333337</v>
      </c>
      <c r="K49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0.36458333333333337</v>
      </c>
      <c r="L49" s="67" t="s">
        <v>152</v>
      </c>
    </row>
    <row r="50" spans="1:12" s="68" customFormat="1" ht="17.100000000000001" customHeight="1" x14ac:dyDescent="0.25">
      <c r="A50" s="67">
        <v>503586</v>
      </c>
      <c r="B50" s="67" t="s">
        <v>96</v>
      </c>
      <c r="C50" s="67" t="s">
        <v>148</v>
      </c>
      <c r="D50" s="67">
        <v>2343515</v>
      </c>
      <c r="E50" s="67" t="s">
        <v>198</v>
      </c>
      <c r="F50" s="67" t="s">
        <v>198</v>
      </c>
      <c r="G50" s="67" t="s">
        <v>199</v>
      </c>
      <c r="H50" s="67" t="s">
        <v>199</v>
      </c>
      <c r="I50" s="69">
        <v>0.45833333333333331</v>
      </c>
      <c r="J50" s="69">
        <v>0.75</v>
      </c>
      <c r="K50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0.29166666666666669</v>
      </c>
      <c r="L50" s="67" t="s">
        <v>152</v>
      </c>
    </row>
    <row r="51" spans="1:12" s="68" customFormat="1" ht="17.100000000000001" customHeight="1" x14ac:dyDescent="0.25">
      <c r="A51" s="67">
        <v>501893</v>
      </c>
      <c r="B51" s="67" t="s">
        <v>149</v>
      </c>
      <c r="C51" s="67" t="s">
        <v>148</v>
      </c>
      <c r="D51" s="67">
        <v>2343515</v>
      </c>
      <c r="E51" s="67" t="s">
        <v>198</v>
      </c>
      <c r="F51" s="67" t="s">
        <v>198</v>
      </c>
      <c r="G51" s="67" t="s">
        <v>199</v>
      </c>
      <c r="H51" s="67" t="s">
        <v>199</v>
      </c>
      <c r="I51" s="69">
        <v>0.45833333333333331</v>
      </c>
      <c r="J51" s="69">
        <v>0.79166666666666663</v>
      </c>
      <c r="K51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0.33333333333333331</v>
      </c>
      <c r="L51" s="67" t="s">
        <v>152</v>
      </c>
    </row>
    <row r="52" spans="1:12" s="68" customFormat="1" ht="17.100000000000001" customHeight="1" x14ac:dyDescent="0.25">
      <c r="A52" s="67">
        <v>501893</v>
      </c>
      <c r="B52" s="67" t="s">
        <v>149</v>
      </c>
      <c r="C52" s="67" t="s">
        <v>148</v>
      </c>
      <c r="D52" s="67">
        <v>2343515</v>
      </c>
      <c r="E52" s="67" t="s">
        <v>200</v>
      </c>
      <c r="F52" s="67" t="s">
        <v>200</v>
      </c>
      <c r="G52" s="67" t="s">
        <v>198</v>
      </c>
      <c r="H52" s="67" t="s">
        <v>198</v>
      </c>
      <c r="I52" s="69">
        <v>0.61458333333333337</v>
      </c>
      <c r="J52" s="69">
        <v>0.63541666666666663</v>
      </c>
      <c r="K52" s="69">
        <f>IF(Tabela2234[[#This Row],[Data Inicial]]=Tabela2234[[#This Row],[Data Final]],Tabela2234[[#This Row],[Hora Final]]-Tabela2234[[#This Row],[Hora Inicial]],"24:00:00"-Tabela2234[[#This Row],[Hora Inicial]]+Tabela2234[[#This Row],[Hora Final]])</f>
        <v>2.0833333333333259E-2</v>
      </c>
      <c r="L52" s="67" t="s">
        <v>152</v>
      </c>
    </row>
    <row r="53" spans="1:12" s="68" customFormat="1" ht="17.100000000000001" customHeight="1" x14ac:dyDescent="0.25">
      <c r="A53" s="67">
        <v>500893</v>
      </c>
      <c r="B53" s="67" t="s">
        <v>201</v>
      </c>
      <c r="C53" s="67" t="s">
        <v>148</v>
      </c>
      <c r="D53" s="67">
        <v>2343515</v>
      </c>
      <c r="E53" s="67" t="s">
        <v>200</v>
      </c>
      <c r="F53" s="67" t="s">
        <v>200</v>
      </c>
      <c r="G53" s="67" t="s">
        <v>198</v>
      </c>
      <c r="H53" s="67" t="s">
        <v>198</v>
      </c>
      <c r="I53" s="69">
        <v>0.72916666666666663</v>
      </c>
      <c r="J53" s="69">
        <v>0.8979166666666667</v>
      </c>
      <c r="K53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0.16875000000000007</v>
      </c>
      <c r="L53" s="67" t="s">
        <v>152</v>
      </c>
    </row>
    <row r="54" spans="1:12" s="68" customFormat="1" ht="17.100000000000001" customHeight="1" x14ac:dyDescent="0.25">
      <c r="A54" s="67">
        <v>501893</v>
      </c>
      <c r="B54" s="67" t="s">
        <v>149</v>
      </c>
      <c r="C54" s="67" t="s">
        <v>148</v>
      </c>
      <c r="D54" s="67">
        <v>2343515</v>
      </c>
      <c r="E54" s="67" t="s">
        <v>200</v>
      </c>
      <c r="F54" s="67" t="s">
        <v>200</v>
      </c>
      <c r="G54" s="67" t="s">
        <v>198</v>
      </c>
      <c r="H54" s="67" t="s">
        <v>198</v>
      </c>
      <c r="I54" s="69">
        <v>0.72916666666666663</v>
      </c>
      <c r="J54" s="69">
        <v>0.98958333333333337</v>
      </c>
      <c r="K54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0.26041666666666674</v>
      </c>
      <c r="L54" s="67" t="s">
        <v>152</v>
      </c>
    </row>
    <row r="55" spans="1:12" s="68" customFormat="1" ht="17.100000000000001" customHeight="1" x14ac:dyDescent="0.25">
      <c r="A55" s="67">
        <v>501893</v>
      </c>
      <c r="B55" s="67" t="s">
        <v>149</v>
      </c>
      <c r="C55" s="67" t="s">
        <v>148</v>
      </c>
      <c r="D55" s="67">
        <v>2343515</v>
      </c>
      <c r="E55" s="67" t="s">
        <v>162</v>
      </c>
      <c r="F55" s="67" t="s">
        <v>162</v>
      </c>
      <c r="G55" s="67" t="s">
        <v>200</v>
      </c>
      <c r="H55" s="67" t="s">
        <v>200</v>
      </c>
      <c r="I55" s="69">
        <v>0.61458333333333337</v>
      </c>
      <c r="J55" s="69">
        <v>0.98958333333333337</v>
      </c>
      <c r="K55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0.375</v>
      </c>
      <c r="L55" s="67" t="s">
        <v>152</v>
      </c>
    </row>
    <row r="56" spans="1:12" s="68" customFormat="1" ht="17.100000000000001" customHeight="1" x14ac:dyDescent="0.25">
      <c r="A56" s="67">
        <v>501893</v>
      </c>
      <c r="B56" s="67" t="s">
        <v>149</v>
      </c>
      <c r="C56" s="67" t="s">
        <v>148</v>
      </c>
      <c r="D56" s="67">
        <v>2343515</v>
      </c>
      <c r="E56" s="67" t="s">
        <v>162</v>
      </c>
      <c r="F56" s="67" t="s">
        <v>162</v>
      </c>
      <c r="G56" s="67" t="s">
        <v>202</v>
      </c>
      <c r="H56" s="67" t="s">
        <v>202</v>
      </c>
      <c r="I56" s="69">
        <v>0.61458333333333337</v>
      </c>
      <c r="J56" s="69">
        <v>0.72152777777777777</v>
      </c>
      <c r="K56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0.1069444444444444</v>
      </c>
      <c r="L56" s="67" t="s">
        <v>152</v>
      </c>
    </row>
    <row r="57" spans="1:12" s="68" customFormat="1" ht="17.100000000000001" customHeight="1" x14ac:dyDescent="0.25">
      <c r="A57" s="67">
        <v>501893</v>
      </c>
      <c r="B57" s="67" t="s">
        <v>149</v>
      </c>
      <c r="C57" s="67" t="s">
        <v>148</v>
      </c>
      <c r="D57" s="67">
        <v>2343515</v>
      </c>
      <c r="E57" s="67" t="s">
        <v>162</v>
      </c>
      <c r="F57" s="67" t="s">
        <v>162</v>
      </c>
      <c r="G57" s="67" t="s">
        <v>202</v>
      </c>
      <c r="H57" s="67" t="s">
        <v>202</v>
      </c>
      <c r="I57" s="69">
        <v>0.875</v>
      </c>
      <c r="J57" s="69">
        <v>0.98958333333333337</v>
      </c>
      <c r="K57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0.11458333333333337</v>
      </c>
      <c r="L57" s="67" t="s">
        <v>152</v>
      </c>
    </row>
    <row r="58" spans="1:12" s="68" customFormat="1" ht="17.100000000000001" customHeight="1" x14ac:dyDescent="0.25">
      <c r="A58" s="67">
        <v>501893</v>
      </c>
      <c r="B58" s="67" t="s">
        <v>149</v>
      </c>
      <c r="C58" s="67" t="s">
        <v>148</v>
      </c>
      <c r="D58" s="67">
        <v>2343515</v>
      </c>
      <c r="E58" s="67" t="s">
        <v>162</v>
      </c>
      <c r="F58" s="67" t="s">
        <v>162</v>
      </c>
      <c r="G58" s="67" t="s">
        <v>203</v>
      </c>
      <c r="H58" s="67" t="s">
        <v>203</v>
      </c>
      <c r="I58" s="69">
        <v>0.61458333333333337</v>
      </c>
      <c r="J58" s="69">
        <v>0.98958333333333337</v>
      </c>
      <c r="K58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0.375</v>
      </c>
      <c r="L58" s="67" t="s">
        <v>152</v>
      </c>
    </row>
    <row r="59" spans="1:12" s="68" customFormat="1" ht="17.100000000000001" customHeight="1" x14ac:dyDescent="0.25">
      <c r="A59" s="67">
        <v>501893</v>
      </c>
      <c r="B59" s="67" t="s">
        <v>149</v>
      </c>
      <c r="C59" s="67" t="s">
        <v>148</v>
      </c>
      <c r="D59" s="67">
        <v>2343515</v>
      </c>
      <c r="E59" s="67" t="s">
        <v>162</v>
      </c>
      <c r="F59" s="67" t="s">
        <v>162</v>
      </c>
      <c r="G59" s="67" t="s">
        <v>204</v>
      </c>
      <c r="H59" s="67" t="s">
        <v>204</v>
      </c>
      <c r="I59" s="69">
        <v>0.61458333333333337</v>
      </c>
      <c r="J59" s="69">
        <v>0.98958333333333337</v>
      </c>
      <c r="K59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0.375</v>
      </c>
      <c r="L59" s="67" t="s">
        <v>152</v>
      </c>
    </row>
    <row r="60" spans="1:12" s="68" customFormat="1" ht="17.100000000000001" customHeight="1" x14ac:dyDescent="0.25">
      <c r="A60" s="67">
        <v>501893</v>
      </c>
      <c r="B60" s="67" t="s">
        <v>149</v>
      </c>
      <c r="C60" s="67" t="s">
        <v>148</v>
      </c>
      <c r="D60" s="67">
        <v>2343515</v>
      </c>
      <c r="E60" s="67" t="s">
        <v>162</v>
      </c>
      <c r="F60" s="67" t="s">
        <v>162</v>
      </c>
      <c r="G60" s="67" t="s">
        <v>162</v>
      </c>
      <c r="H60" s="67" t="s">
        <v>162</v>
      </c>
      <c r="I60" s="69">
        <v>0.45833333333333331</v>
      </c>
      <c r="J60" s="69">
        <v>0.80347222222222225</v>
      </c>
      <c r="K60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0.34513888888888894</v>
      </c>
      <c r="L60" s="67" t="s">
        <v>152</v>
      </c>
    </row>
    <row r="61" spans="1:12" s="68" customFormat="1" ht="17.100000000000001" customHeight="1" x14ac:dyDescent="0.25">
      <c r="A61" s="67">
        <v>501893</v>
      </c>
      <c r="B61" s="67" t="s">
        <v>149</v>
      </c>
      <c r="C61" s="67" t="s">
        <v>148</v>
      </c>
      <c r="D61" s="67">
        <v>2343515</v>
      </c>
      <c r="E61" s="67" t="s">
        <v>205</v>
      </c>
      <c r="F61" s="67" t="s">
        <v>205</v>
      </c>
      <c r="G61" s="67" t="s">
        <v>206</v>
      </c>
      <c r="H61" s="67" t="s">
        <v>206</v>
      </c>
      <c r="I61" s="69">
        <v>0.61458333333333337</v>
      </c>
      <c r="J61" s="69">
        <v>0.80486111111111114</v>
      </c>
      <c r="K61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0.19027777777777777</v>
      </c>
      <c r="L61" s="67" t="s">
        <v>152</v>
      </c>
    </row>
    <row r="62" spans="1:12" s="68" customFormat="1" ht="17.100000000000001" customHeight="1" x14ac:dyDescent="0.25">
      <c r="A62" s="67">
        <v>501893</v>
      </c>
      <c r="B62" s="67" t="s">
        <v>149</v>
      </c>
      <c r="C62" s="67" t="s">
        <v>148</v>
      </c>
      <c r="D62" s="67">
        <v>2343515</v>
      </c>
      <c r="E62" s="67" t="s">
        <v>150</v>
      </c>
      <c r="F62" s="67" t="s">
        <v>150</v>
      </c>
      <c r="G62" s="67" t="s">
        <v>151</v>
      </c>
      <c r="H62" s="67" t="s">
        <v>151</v>
      </c>
      <c r="I62" s="69">
        <v>0.69097222222222221</v>
      </c>
      <c r="J62" s="69">
        <v>0.98958333333333337</v>
      </c>
      <c r="K62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0.29861111111111116</v>
      </c>
      <c r="L62" s="67" t="s">
        <v>152</v>
      </c>
    </row>
    <row r="63" spans="1:12" s="68" customFormat="1" ht="17.100000000000001" customHeight="1" x14ac:dyDescent="0.25">
      <c r="A63" s="67">
        <v>501893</v>
      </c>
      <c r="B63" s="67" t="s">
        <v>149</v>
      </c>
      <c r="C63" s="67" t="s">
        <v>148</v>
      </c>
      <c r="D63" s="67">
        <v>2343515</v>
      </c>
      <c r="E63" s="67" t="s">
        <v>150</v>
      </c>
      <c r="F63" s="67" t="s">
        <v>150</v>
      </c>
      <c r="G63" s="67" t="s">
        <v>154</v>
      </c>
      <c r="H63" s="67" t="s">
        <v>153</v>
      </c>
      <c r="I63" s="69">
        <v>0.90625</v>
      </c>
      <c r="J63" s="69">
        <v>0.1451388888888889</v>
      </c>
      <c r="K63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0.2388888888888889</v>
      </c>
      <c r="L63" s="67" t="s">
        <v>152</v>
      </c>
    </row>
    <row r="64" spans="1:12" s="68" customFormat="1" ht="17.100000000000001" customHeight="1" x14ac:dyDescent="0.25">
      <c r="A64" s="67">
        <v>501893</v>
      </c>
      <c r="B64" s="67" t="s">
        <v>149</v>
      </c>
      <c r="C64" s="67" t="s">
        <v>148</v>
      </c>
      <c r="D64" s="67">
        <v>2343515</v>
      </c>
      <c r="E64" s="67" t="s">
        <v>150</v>
      </c>
      <c r="F64" s="67" t="s">
        <v>150</v>
      </c>
      <c r="G64" s="67" t="s">
        <v>153</v>
      </c>
      <c r="H64" s="67" t="s">
        <v>150</v>
      </c>
      <c r="I64" s="69">
        <v>0.90625</v>
      </c>
      <c r="J64" s="69">
        <v>0.16666666666666666</v>
      </c>
      <c r="K64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0.26041666666666663</v>
      </c>
      <c r="L64" s="67" t="s">
        <v>152</v>
      </c>
    </row>
    <row r="65" spans="1:12" s="68" customFormat="1" ht="17.100000000000001" customHeight="1" x14ac:dyDescent="0.25">
      <c r="A65" s="67">
        <v>501893</v>
      </c>
      <c r="B65" s="67" t="s">
        <v>149</v>
      </c>
      <c r="C65" s="67" t="s">
        <v>148</v>
      </c>
      <c r="D65" s="67">
        <v>2343515</v>
      </c>
      <c r="E65" s="67" t="s">
        <v>155</v>
      </c>
      <c r="F65" s="67" t="s">
        <v>155</v>
      </c>
      <c r="G65" s="67" t="s">
        <v>150</v>
      </c>
      <c r="H65" s="67" t="s">
        <v>156</v>
      </c>
      <c r="I65" s="69">
        <v>0.90625</v>
      </c>
      <c r="J65" s="69">
        <v>0.1875</v>
      </c>
      <c r="K65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0.28125</v>
      </c>
      <c r="L65" s="67" t="s">
        <v>152</v>
      </c>
    </row>
    <row r="66" spans="1:12" s="68" customFormat="1" ht="17.100000000000001" customHeight="1" x14ac:dyDescent="0.25">
      <c r="A66" s="67">
        <v>501893</v>
      </c>
      <c r="B66" s="67" t="s">
        <v>149</v>
      </c>
      <c r="C66" s="67" t="s">
        <v>148</v>
      </c>
      <c r="D66" s="67">
        <v>2343515</v>
      </c>
      <c r="E66" s="67" t="s">
        <v>155</v>
      </c>
      <c r="F66" s="67" t="s">
        <v>155</v>
      </c>
      <c r="G66" s="67" t="s">
        <v>156</v>
      </c>
      <c r="H66" s="67" t="s">
        <v>157</v>
      </c>
      <c r="I66" s="69">
        <v>0.90625</v>
      </c>
      <c r="J66" s="69">
        <v>0.25</v>
      </c>
      <c r="K66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0.34375</v>
      </c>
      <c r="L66" s="67" t="s">
        <v>152</v>
      </c>
    </row>
    <row r="67" spans="1:12" s="68" customFormat="1" ht="17.100000000000001" customHeight="1" x14ac:dyDescent="0.25">
      <c r="A67" s="67">
        <v>501893</v>
      </c>
      <c r="B67" s="67" t="s">
        <v>149</v>
      </c>
      <c r="C67" s="67" t="s">
        <v>148</v>
      </c>
      <c r="D67" s="67">
        <v>2343515</v>
      </c>
      <c r="E67" s="67" t="s">
        <v>155</v>
      </c>
      <c r="F67" s="67" t="s">
        <v>155</v>
      </c>
      <c r="G67" s="67" t="s">
        <v>157</v>
      </c>
      <c r="H67" s="67" t="s">
        <v>158</v>
      </c>
      <c r="I67" s="69">
        <v>0.90625</v>
      </c>
      <c r="J67" s="69">
        <v>0.25</v>
      </c>
      <c r="K67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0.34375</v>
      </c>
      <c r="L67" s="67" t="s">
        <v>152</v>
      </c>
    </row>
    <row r="68" spans="1:12" s="68" customFormat="1" ht="17.100000000000001" customHeight="1" x14ac:dyDescent="0.25">
      <c r="A68" s="67">
        <v>501893</v>
      </c>
      <c r="B68" s="67" t="s">
        <v>149</v>
      </c>
      <c r="C68" s="67" t="s">
        <v>148</v>
      </c>
      <c r="D68" s="67">
        <v>2343515</v>
      </c>
      <c r="E68" s="67" t="s">
        <v>155</v>
      </c>
      <c r="F68" s="67" t="s">
        <v>155</v>
      </c>
      <c r="G68" s="67" t="s">
        <v>158</v>
      </c>
      <c r="H68" s="67" t="s">
        <v>159</v>
      </c>
      <c r="I68" s="69">
        <v>0.90625</v>
      </c>
      <c r="J68" s="69">
        <v>0.27083333333333331</v>
      </c>
      <c r="K68" s="69">
        <f>IF(Tabela2234[[#This Row],[Data Inicial]]=Tabela2234[[#This Row],[Data Final]],Tabela2234[[#This Row],[Hora Final]]-Tabela2234[[#This Row],[Hora Inicial]],"24:00:00"-Tabela2234[[#This Row],[Hora Inicial]]+Tabela2234[[#This Row],[Hora Final]])</f>
        <v>0.36458333333333331</v>
      </c>
      <c r="L68" s="67" t="s">
        <v>152</v>
      </c>
    </row>
    <row r="69" spans="1:12" s="68" customFormat="1" ht="17.100000000000001" customHeight="1" x14ac:dyDescent="0.25">
      <c r="A69" s="67"/>
      <c r="B69" s="67"/>
      <c r="C69" s="67"/>
      <c r="D69" s="67"/>
      <c r="E69" s="67"/>
      <c r="F69" s="67"/>
      <c r="G69" s="67"/>
      <c r="H69" s="67"/>
      <c r="I69" s="69"/>
      <c r="J69" s="69"/>
      <c r="K69" s="70">
        <f>SUBTOTAL(109,K7:K68)</f>
        <v>14.313194444444447</v>
      </c>
      <c r="L69" s="67"/>
    </row>
    <row r="71" spans="1:12" ht="30" customHeight="1" x14ac:dyDescent="0.25">
      <c r="A71" s="234" t="s">
        <v>71</v>
      </c>
      <c r="B71" s="234"/>
      <c r="C71" s="234"/>
      <c r="D71" s="234"/>
      <c r="E71" s="234"/>
      <c r="F71" s="234"/>
      <c r="G71" s="234"/>
      <c r="H71" s="234"/>
      <c r="I71" s="234"/>
      <c r="J71" s="234"/>
      <c r="K71" s="234"/>
      <c r="L71" s="234"/>
    </row>
    <row r="72" spans="1:12" ht="17.100000000000001" customHeight="1" x14ac:dyDescent="0.25">
      <c r="A72" s="233" t="s">
        <v>207</v>
      </c>
      <c r="B72" s="233"/>
      <c r="C72" s="233"/>
      <c r="D72" s="233"/>
      <c r="E72" s="233"/>
      <c r="F72" s="233"/>
      <c r="G72" s="233"/>
      <c r="H72" s="233"/>
      <c r="I72" s="233"/>
      <c r="J72" s="233"/>
      <c r="K72" s="233"/>
      <c r="L72" s="233"/>
    </row>
    <row r="73" spans="1:12" ht="17.100000000000001" customHeight="1" x14ac:dyDescent="0.25">
      <c r="A73" s="233" t="s">
        <v>208</v>
      </c>
      <c r="B73" s="233"/>
      <c r="C73" s="233"/>
      <c r="D73" s="233"/>
      <c r="E73" s="233"/>
      <c r="F73" s="233"/>
      <c r="G73" s="233"/>
      <c r="H73" s="233"/>
      <c r="I73" s="233"/>
      <c r="J73" s="233"/>
      <c r="K73" s="233"/>
      <c r="L73" s="233"/>
    </row>
    <row r="74" spans="1:12" ht="17.100000000000001" customHeight="1" x14ac:dyDescent="0.25">
      <c r="A74" s="233"/>
      <c r="B74" s="233"/>
      <c r="C74" s="233"/>
      <c r="D74" s="233"/>
      <c r="E74" s="233"/>
      <c r="F74" s="233"/>
      <c r="G74" s="233"/>
      <c r="H74" s="233"/>
      <c r="I74" s="233"/>
      <c r="J74" s="233"/>
      <c r="K74" s="233"/>
      <c r="L74" s="233"/>
    </row>
    <row r="75" spans="1:12" ht="17.100000000000001" customHeight="1" x14ac:dyDescent="0.25">
      <c r="A75" s="233" t="s">
        <v>209</v>
      </c>
      <c r="B75" s="233"/>
      <c r="C75" s="233"/>
      <c r="D75" s="233"/>
      <c r="E75" s="233"/>
      <c r="F75" s="233"/>
      <c r="G75" s="233"/>
      <c r="H75" s="233"/>
      <c r="I75" s="233"/>
      <c r="J75" s="233"/>
      <c r="K75" s="233"/>
      <c r="L75" s="233"/>
    </row>
    <row r="76" spans="1:12" ht="17.100000000000001" customHeight="1" x14ac:dyDescent="0.25">
      <c r="A76" s="233"/>
      <c r="B76" s="233"/>
      <c r="C76" s="233"/>
      <c r="D76" s="233"/>
      <c r="E76" s="233"/>
      <c r="F76" s="233"/>
      <c r="G76" s="233"/>
      <c r="H76" s="233"/>
      <c r="I76" s="233"/>
      <c r="J76" s="233"/>
      <c r="K76" s="233"/>
      <c r="L76" s="233"/>
    </row>
    <row r="77" spans="1:12" ht="17.100000000000001" customHeight="1" x14ac:dyDescent="0.25">
      <c r="A77" s="233" t="s">
        <v>210</v>
      </c>
      <c r="B77" s="233"/>
      <c r="C77" s="233"/>
      <c r="D77" s="233"/>
      <c r="E77" s="233"/>
      <c r="F77" s="233"/>
      <c r="G77" s="233"/>
      <c r="H77" s="233"/>
      <c r="I77" s="233"/>
      <c r="J77" s="233"/>
      <c r="K77" s="233"/>
      <c r="L77" s="233"/>
    </row>
    <row r="78" spans="1:12" ht="17.100000000000001" customHeight="1" x14ac:dyDescent="0.25">
      <c r="A78" s="233" t="s">
        <v>211</v>
      </c>
      <c r="B78" s="233"/>
      <c r="C78" s="233"/>
      <c r="D78" s="233"/>
      <c r="E78" s="233"/>
      <c r="F78" s="233"/>
      <c r="G78" s="233"/>
      <c r="H78" s="233"/>
      <c r="I78" s="233"/>
      <c r="J78" s="233"/>
      <c r="K78" s="233"/>
      <c r="L78" s="233"/>
    </row>
    <row r="79" spans="1:12" ht="17.100000000000001" customHeight="1" x14ac:dyDescent="0.25">
      <c r="A79" s="233"/>
      <c r="B79" s="233"/>
      <c r="C79" s="233"/>
      <c r="D79" s="233"/>
      <c r="E79" s="233"/>
      <c r="F79" s="233"/>
      <c r="G79" s="233"/>
      <c r="H79" s="233"/>
      <c r="I79" s="233"/>
      <c r="J79" s="233"/>
      <c r="K79" s="233"/>
      <c r="L79" s="233"/>
    </row>
    <row r="80" spans="1:12" ht="17.100000000000001" customHeight="1" x14ac:dyDescent="0.25">
      <c r="A80" s="233" t="s">
        <v>212</v>
      </c>
      <c r="B80" s="233"/>
      <c r="C80" s="233"/>
      <c r="D80" s="233"/>
      <c r="E80" s="233"/>
      <c r="F80" s="233"/>
      <c r="G80" s="233"/>
      <c r="H80" s="233"/>
      <c r="I80" s="233"/>
      <c r="J80" s="233"/>
      <c r="K80" s="233"/>
      <c r="L80" s="233"/>
    </row>
    <row r="81" spans="1:12" ht="17.100000000000001" customHeight="1" x14ac:dyDescent="0.25">
      <c r="A81" s="233"/>
      <c r="B81" s="233"/>
      <c r="C81" s="233"/>
      <c r="D81" s="233"/>
      <c r="E81" s="233"/>
      <c r="F81" s="233"/>
      <c r="G81" s="233"/>
      <c r="H81" s="233"/>
      <c r="I81" s="233"/>
      <c r="J81" s="233"/>
      <c r="K81" s="233"/>
      <c r="L81" s="233"/>
    </row>
    <row r="82" spans="1:12" ht="17.100000000000001" customHeight="1" x14ac:dyDescent="0.25">
      <c r="A82" s="233" t="s">
        <v>213</v>
      </c>
      <c r="B82" s="233"/>
      <c r="C82" s="233"/>
      <c r="D82" s="233"/>
      <c r="E82" s="233"/>
      <c r="F82" s="233"/>
      <c r="G82" s="233"/>
      <c r="H82" s="233"/>
      <c r="I82" s="233"/>
      <c r="J82" s="233"/>
      <c r="K82" s="233"/>
      <c r="L82" s="233"/>
    </row>
    <row r="83" spans="1:12" ht="17.100000000000001" customHeight="1" x14ac:dyDescent="0.25">
      <c r="A83" s="233" t="s">
        <v>208</v>
      </c>
      <c r="B83" s="233"/>
      <c r="C83" s="233"/>
      <c r="D83" s="233"/>
      <c r="E83" s="233"/>
      <c r="F83" s="233"/>
      <c r="G83" s="233"/>
      <c r="H83" s="233"/>
      <c r="I83" s="233"/>
      <c r="J83" s="233"/>
      <c r="K83" s="233"/>
      <c r="L83" s="233"/>
    </row>
    <row r="84" spans="1:12" ht="17.100000000000001" customHeight="1" x14ac:dyDescent="0.25">
      <c r="A84" s="233"/>
      <c r="B84" s="233"/>
      <c r="C84" s="233"/>
      <c r="D84" s="233"/>
      <c r="E84" s="233"/>
      <c r="F84" s="233"/>
      <c r="G84" s="233"/>
      <c r="H84" s="233"/>
      <c r="I84" s="233"/>
      <c r="J84" s="233"/>
      <c r="K84" s="233"/>
      <c r="L84" s="233"/>
    </row>
    <row r="85" spans="1:12" ht="17.100000000000001" customHeight="1" x14ac:dyDescent="0.25">
      <c r="A85" s="233" t="s">
        <v>214</v>
      </c>
      <c r="B85" s="233"/>
      <c r="C85" s="233"/>
      <c r="D85" s="233"/>
      <c r="E85" s="233"/>
      <c r="F85" s="233"/>
      <c r="G85" s="233"/>
      <c r="H85" s="233"/>
      <c r="I85" s="233"/>
      <c r="J85" s="233"/>
      <c r="K85" s="233"/>
      <c r="L85" s="233"/>
    </row>
    <row r="86" spans="1:12" ht="17.100000000000001" customHeight="1" x14ac:dyDescent="0.25">
      <c r="A86" s="233"/>
      <c r="B86" s="233"/>
      <c r="C86" s="233"/>
      <c r="D86" s="233"/>
      <c r="E86" s="233"/>
      <c r="F86" s="233"/>
      <c r="G86" s="233"/>
      <c r="H86" s="233"/>
      <c r="I86" s="233"/>
      <c r="J86" s="233"/>
      <c r="K86" s="233"/>
      <c r="L86" s="233"/>
    </row>
    <row r="87" spans="1:12" ht="17.100000000000001" customHeight="1" x14ac:dyDescent="0.25">
      <c r="A87" s="233" t="s">
        <v>215</v>
      </c>
      <c r="B87" s="233"/>
      <c r="C87" s="233"/>
      <c r="D87" s="233"/>
      <c r="E87" s="233"/>
      <c r="F87" s="233"/>
      <c r="G87" s="233"/>
      <c r="H87" s="233"/>
      <c r="I87" s="233"/>
      <c r="J87" s="233"/>
      <c r="K87" s="233"/>
      <c r="L87" s="233"/>
    </row>
    <row r="88" spans="1:12" ht="17.100000000000001" customHeight="1" x14ac:dyDescent="0.25">
      <c r="A88" s="233"/>
      <c r="B88" s="233"/>
      <c r="C88" s="233"/>
      <c r="D88" s="233"/>
      <c r="E88" s="233"/>
      <c r="F88" s="233"/>
      <c r="G88" s="233"/>
      <c r="H88" s="233"/>
      <c r="I88" s="233"/>
      <c r="J88" s="233"/>
      <c r="K88" s="233"/>
      <c r="L88" s="233"/>
    </row>
    <row r="89" spans="1:12" ht="17.100000000000001" customHeight="1" x14ac:dyDescent="0.25">
      <c r="A89" s="233" t="s">
        <v>216</v>
      </c>
      <c r="B89" s="233"/>
      <c r="C89" s="233"/>
      <c r="D89" s="233"/>
      <c r="E89" s="233"/>
      <c r="F89" s="233"/>
      <c r="G89" s="233"/>
      <c r="H89" s="233"/>
      <c r="I89" s="233"/>
      <c r="J89" s="233"/>
      <c r="K89" s="233"/>
      <c r="L89" s="233"/>
    </row>
    <row r="90" spans="1:12" ht="17.100000000000001" customHeight="1" x14ac:dyDescent="0.25">
      <c r="A90" s="233" t="s">
        <v>208</v>
      </c>
      <c r="B90" s="233"/>
      <c r="C90" s="233"/>
      <c r="D90" s="233"/>
      <c r="E90" s="233"/>
      <c r="F90" s="233"/>
      <c r="G90" s="233"/>
      <c r="H90" s="233"/>
      <c r="I90" s="233"/>
      <c r="J90" s="233"/>
      <c r="K90" s="233"/>
      <c r="L90" s="233"/>
    </row>
    <row r="91" spans="1:12" ht="17.100000000000001" customHeight="1" x14ac:dyDescent="0.25">
      <c r="A91" s="233"/>
      <c r="B91" s="233"/>
      <c r="C91" s="233"/>
      <c r="D91" s="233"/>
      <c r="E91" s="233"/>
      <c r="F91" s="233"/>
      <c r="G91" s="233"/>
      <c r="H91" s="233"/>
      <c r="I91" s="233"/>
      <c r="J91" s="233"/>
      <c r="K91" s="233"/>
      <c r="L91" s="233"/>
    </row>
    <row r="92" spans="1:12" ht="17.100000000000001" customHeight="1" x14ac:dyDescent="0.25">
      <c r="A92" s="233" t="s">
        <v>217</v>
      </c>
      <c r="B92" s="233"/>
      <c r="C92" s="233"/>
      <c r="D92" s="233"/>
      <c r="E92" s="233"/>
      <c r="F92" s="233"/>
      <c r="G92" s="233"/>
      <c r="H92" s="233"/>
      <c r="I92" s="233"/>
      <c r="J92" s="233"/>
      <c r="K92" s="233"/>
      <c r="L92" s="233"/>
    </row>
    <row r="93" spans="1:12" ht="17.100000000000001" customHeight="1" x14ac:dyDescent="0.25">
      <c r="A93" s="233"/>
      <c r="B93" s="233"/>
      <c r="C93" s="233"/>
      <c r="D93" s="233"/>
      <c r="E93" s="233"/>
      <c r="F93" s="233"/>
      <c r="G93" s="233"/>
      <c r="H93" s="233"/>
      <c r="I93" s="233"/>
      <c r="J93" s="233"/>
      <c r="K93" s="233"/>
      <c r="L93" s="233"/>
    </row>
    <row r="94" spans="1:12" ht="17.100000000000001" customHeight="1" x14ac:dyDescent="0.25">
      <c r="A94" s="233" t="s">
        <v>218</v>
      </c>
      <c r="B94" s="233"/>
      <c r="C94" s="233"/>
      <c r="D94" s="233"/>
      <c r="E94" s="233"/>
      <c r="F94" s="233"/>
      <c r="G94" s="233"/>
      <c r="H94" s="233"/>
      <c r="I94" s="233"/>
      <c r="J94" s="233"/>
      <c r="K94" s="233"/>
      <c r="L94" s="233"/>
    </row>
    <row r="95" spans="1:12" ht="17.100000000000001" customHeight="1" x14ac:dyDescent="0.25">
      <c r="A95" s="233" t="s">
        <v>219</v>
      </c>
      <c r="B95" s="233"/>
      <c r="C95" s="233"/>
      <c r="D95" s="233"/>
      <c r="E95" s="233"/>
      <c r="F95" s="233"/>
      <c r="G95" s="233"/>
      <c r="H95" s="233"/>
      <c r="I95" s="233"/>
      <c r="J95" s="233"/>
      <c r="K95" s="233"/>
      <c r="L95" s="233"/>
    </row>
    <row r="96" spans="1:12" ht="17.100000000000001" customHeight="1" x14ac:dyDescent="0.25">
      <c r="A96" s="233"/>
      <c r="B96" s="233"/>
      <c r="C96" s="233"/>
      <c r="D96" s="233"/>
      <c r="E96" s="233"/>
      <c r="F96" s="233"/>
      <c r="G96" s="233"/>
      <c r="H96" s="233"/>
      <c r="I96" s="233"/>
      <c r="J96" s="233"/>
      <c r="K96" s="233"/>
      <c r="L96" s="233"/>
    </row>
    <row r="97" spans="1:12" ht="17.100000000000001" customHeight="1" x14ac:dyDescent="0.25">
      <c r="A97" s="233" t="s">
        <v>220</v>
      </c>
      <c r="B97" s="233"/>
      <c r="C97" s="233"/>
      <c r="D97" s="233"/>
      <c r="E97" s="233"/>
      <c r="F97" s="233"/>
      <c r="G97" s="233"/>
      <c r="H97" s="233"/>
      <c r="I97" s="233"/>
      <c r="J97" s="233"/>
      <c r="K97" s="233"/>
      <c r="L97" s="233"/>
    </row>
    <row r="98" spans="1:12" ht="17.100000000000001" customHeight="1" x14ac:dyDescent="0.25">
      <c r="A98" s="233"/>
      <c r="B98" s="233"/>
      <c r="C98" s="233"/>
      <c r="D98" s="233"/>
      <c r="E98" s="233"/>
      <c r="F98" s="233"/>
      <c r="G98" s="233"/>
      <c r="H98" s="233"/>
      <c r="I98" s="233"/>
      <c r="J98" s="233"/>
      <c r="K98" s="233"/>
      <c r="L98" s="233"/>
    </row>
    <row r="99" spans="1:12" ht="17.100000000000001" customHeight="1" x14ac:dyDescent="0.25">
      <c r="A99" s="233" t="s">
        <v>221</v>
      </c>
      <c r="B99" s="233"/>
      <c r="C99" s="233"/>
      <c r="D99" s="233"/>
      <c r="E99" s="233"/>
      <c r="F99" s="233"/>
      <c r="G99" s="233"/>
      <c r="H99" s="233"/>
      <c r="I99" s="233"/>
      <c r="J99" s="233"/>
      <c r="K99" s="233"/>
      <c r="L99" s="233"/>
    </row>
    <row r="100" spans="1:12" ht="17.100000000000001" customHeight="1" x14ac:dyDescent="0.25">
      <c r="A100" s="233" t="s">
        <v>222</v>
      </c>
      <c r="B100" s="233"/>
      <c r="C100" s="233"/>
      <c r="D100" s="233"/>
      <c r="E100" s="233"/>
      <c r="F100" s="233"/>
      <c r="G100" s="233"/>
      <c r="H100" s="233"/>
      <c r="I100" s="233"/>
      <c r="J100" s="233"/>
      <c r="K100" s="233"/>
      <c r="L100" s="233"/>
    </row>
    <row r="101" spans="1:12" ht="17.100000000000001" customHeight="1" x14ac:dyDescent="0.25">
      <c r="A101" s="233"/>
      <c r="B101" s="233"/>
      <c r="C101" s="233"/>
      <c r="D101" s="233"/>
      <c r="E101" s="233"/>
      <c r="F101" s="233"/>
      <c r="G101" s="233"/>
      <c r="H101" s="233"/>
      <c r="I101" s="233"/>
      <c r="J101" s="233"/>
      <c r="K101" s="233"/>
      <c r="L101" s="233"/>
    </row>
    <row r="102" spans="1:12" ht="17.100000000000001" customHeight="1" x14ac:dyDescent="0.25">
      <c r="A102" s="233" t="s">
        <v>223</v>
      </c>
      <c r="B102" s="233"/>
      <c r="C102" s="233"/>
      <c r="D102" s="233"/>
      <c r="E102" s="233"/>
      <c r="F102" s="233"/>
      <c r="G102" s="233"/>
      <c r="H102" s="233"/>
      <c r="I102" s="233"/>
      <c r="J102" s="233"/>
      <c r="K102" s="233"/>
      <c r="L102" s="233"/>
    </row>
    <row r="103" spans="1:12" ht="17.100000000000001" customHeight="1" x14ac:dyDescent="0.25">
      <c r="A103" s="233"/>
      <c r="B103" s="233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</row>
    <row r="104" spans="1:12" ht="17.100000000000001" customHeight="1" x14ac:dyDescent="0.25">
      <c r="A104" s="233" t="s">
        <v>224</v>
      </c>
      <c r="B104" s="233"/>
      <c r="C104" s="233"/>
      <c r="D104" s="233"/>
      <c r="E104" s="233"/>
      <c r="F104" s="233"/>
      <c r="G104" s="233"/>
      <c r="H104" s="233"/>
      <c r="I104" s="233"/>
      <c r="J104" s="233"/>
      <c r="K104" s="233"/>
      <c r="L104" s="233"/>
    </row>
    <row r="105" spans="1:12" ht="17.100000000000001" customHeight="1" x14ac:dyDescent="0.25">
      <c r="A105" s="233"/>
      <c r="B105" s="233"/>
      <c r="C105" s="233"/>
      <c r="D105" s="233"/>
      <c r="E105" s="233"/>
      <c r="F105" s="233"/>
      <c r="G105" s="233"/>
      <c r="H105" s="233"/>
      <c r="I105" s="233"/>
      <c r="J105" s="233"/>
      <c r="K105" s="233"/>
      <c r="L105" s="233"/>
    </row>
    <row r="106" spans="1:12" ht="17.100000000000001" customHeight="1" x14ac:dyDescent="0.25">
      <c r="A106" s="233" t="s">
        <v>225</v>
      </c>
      <c r="B106" s="233"/>
      <c r="C106" s="233"/>
      <c r="D106" s="233"/>
      <c r="E106" s="233"/>
      <c r="F106" s="233"/>
      <c r="G106" s="233"/>
      <c r="H106" s="233"/>
      <c r="I106" s="233"/>
      <c r="J106" s="233"/>
      <c r="K106" s="233"/>
      <c r="L106" s="233"/>
    </row>
    <row r="107" spans="1:12" ht="17.100000000000001" customHeight="1" x14ac:dyDescent="0.25">
      <c r="A107" s="233"/>
      <c r="B107" s="233"/>
      <c r="C107" s="233"/>
      <c r="D107" s="233"/>
      <c r="E107" s="233"/>
      <c r="F107" s="233"/>
      <c r="G107" s="233"/>
      <c r="H107" s="233"/>
      <c r="I107" s="233"/>
      <c r="J107" s="233"/>
      <c r="K107" s="233"/>
      <c r="L107" s="233"/>
    </row>
    <row r="108" spans="1:12" ht="17.100000000000001" customHeight="1" x14ac:dyDescent="0.25">
      <c r="A108" s="233" t="s">
        <v>226</v>
      </c>
      <c r="B108" s="233"/>
      <c r="C108" s="233"/>
      <c r="D108" s="233"/>
      <c r="E108" s="233"/>
      <c r="F108" s="233"/>
      <c r="G108" s="233"/>
      <c r="H108" s="233"/>
      <c r="I108" s="233"/>
      <c r="J108" s="233"/>
      <c r="K108" s="233"/>
      <c r="L108" s="233"/>
    </row>
    <row r="109" spans="1:12" ht="17.100000000000001" customHeight="1" x14ac:dyDescent="0.25">
      <c r="A109" s="233"/>
      <c r="B109" s="233"/>
      <c r="C109" s="233"/>
      <c r="D109" s="233"/>
      <c r="E109" s="233"/>
      <c r="F109" s="233"/>
      <c r="G109" s="233"/>
      <c r="H109" s="233"/>
      <c r="I109" s="233"/>
      <c r="J109" s="233"/>
      <c r="K109" s="233"/>
      <c r="L109" s="233"/>
    </row>
    <row r="110" spans="1:12" ht="17.100000000000001" customHeight="1" x14ac:dyDescent="0.25">
      <c r="A110" s="233" t="s">
        <v>227</v>
      </c>
      <c r="B110" s="233"/>
      <c r="C110" s="233"/>
      <c r="D110" s="233"/>
      <c r="E110" s="233"/>
      <c r="F110" s="233"/>
      <c r="G110" s="233"/>
      <c r="H110" s="233"/>
      <c r="I110" s="233"/>
      <c r="J110" s="233"/>
      <c r="K110" s="233"/>
      <c r="L110" s="233"/>
    </row>
    <row r="111" spans="1:12" ht="17.100000000000001" customHeight="1" x14ac:dyDescent="0.25">
      <c r="A111" s="233" t="s">
        <v>228</v>
      </c>
      <c r="B111" s="233"/>
      <c r="C111" s="233"/>
      <c r="D111" s="233"/>
      <c r="E111" s="233"/>
      <c r="F111" s="233"/>
      <c r="G111" s="233"/>
      <c r="H111" s="233"/>
      <c r="I111" s="233"/>
      <c r="J111" s="233"/>
      <c r="K111" s="233"/>
      <c r="L111" s="233"/>
    </row>
    <row r="112" spans="1:12" ht="17.100000000000001" customHeight="1" x14ac:dyDescent="0.25">
      <c r="A112" s="233"/>
      <c r="B112" s="233"/>
      <c r="C112" s="233"/>
      <c r="D112" s="233"/>
      <c r="E112" s="233"/>
      <c r="F112" s="233"/>
      <c r="G112" s="233"/>
      <c r="H112" s="233"/>
      <c r="I112" s="233"/>
      <c r="J112" s="233"/>
      <c r="K112" s="233"/>
      <c r="L112" s="233"/>
    </row>
    <row r="113" spans="1:12" ht="17.100000000000001" customHeight="1" x14ac:dyDescent="0.25">
      <c r="A113" s="233" t="s">
        <v>229</v>
      </c>
      <c r="B113" s="233"/>
      <c r="C113" s="233"/>
      <c r="D113" s="233"/>
      <c r="E113" s="233"/>
      <c r="F113" s="233"/>
      <c r="G113" s="233"/>
      <c r="H113" s="233"/>
      <c r="I113" s="233"/>
      <c r="J113" s="233"/>
      <c r="K113" s="233"/>
      <c r="L113" s="233"/>
    </row>
    <row r="114" spans="1:12" ht="17.100000000000001" customHeight="1" x14ac:dyDescent="0.25">
      <c r="A114" s="233"/>
      <c r="B114" s="233"/>
      <c r="C114" s="233"/>
      <c r="D114" s="233"/>
      <c r="E114" s="233"/>
      <c r="F114" s="233"/>
      <c r="G114" s="233"/>
      <c r="H114" s="233"/>
      <c r="I114" s="233"/>
      <c r="J114" s="233"/>
      <c r="K114" s="233"/>
      <c r="L114" s="233"/>
    </row>
    <row r="115" spans="1:12" ht="17.100000000000001" customHeight="1" x14ac:dyDescent="0.25">
      <c r="A115" s="233" t="s">
        <v>230</v>
      </c>
      <c r="B115" s="233"/>
      <c r="C115" s="233"/>
      <c r="D115" s="233"/>
      <c r="E115" s="233"/>
      <c r="F115" s="233"/>
      <c r="G115" s="233"/>
      <c r="H115" s="233"/>
      <c r="I115" s="233"/>
      <c r="J115" s="233"/>
      <c r="K115" s="233"/>
      <c r="L115" s="233"/>
    </row>
    <row r="116" spans="1:12" ht="17.100000000000001" customHeight="1" x14ac:dyDescent="0.25">
      <c r="A116" s="233" t="s">
        <v>208</v>
      </c>
      <c r="B116" s="233"/>
      <c r="C116" s="233"/>
      <c r="D116" s="233"/>
      <c r="E116" s="233"/>
      <c r="F116" s="233"/>
      <c r="G116" s="233"/>
      <c r="H116" s="233"/>
      <c r="I116" s="233"/>
      <c r="J116" s="233"/>
      <c r="K116" s="233"/>
      <c r="L116" s="233"/>
    </row>
    <row r="117" spans="1:12" ht="17.100000000000001" customHeight="1" x14ac:dyDescent="0.25">
      <c r="A117" s="233"/>
      <c r="B117" s="233"/>
      <c r="C117" s="233"/>
      <c r="D117" s="233"/>
      <c r="E117" s="233"/>
      <c r="F117" s="233"/>
      <c r="G117" s="233"/>
      <c r="H117" s="233"/>
      <c r="I117" s="233"/>
      <c r="J117" s="233"/>
      <c r="K117" s="233"/>
      <c r="L117" s="233"/>
    </row>
    <row r="118" spans="1:12" ht="17.100000000000001" customHeight="1" x14ac:dyDescent="0.25">
      <c r="A118" s="233" t="s">
        <v>231</v>
      </c>
      <c r="B118" s="233"/>
      <c r="C118" s="233"/>
      <c r="D118" s="233"/>
      <c r="E118" s="233"/>
      <c r="F118" s="233"/>
      <c r="G118" s="233"/>
      <c r="H118" s="233"/>
      <c r="I118" s="233"/>
      <c r="J118" s="233"/>
      <c r="K118" s="233"/>
      <c r="L118" s="233"/>
    </row>
    <row r="119" spans="1:12" ht="17.100000000000001" customHeight="1" x14ac:dyDescent="0.25">
      <c r="A119" s="233"/>
      <c r="B119" s="233"/>
      <c r="C119" s="233"/>
      <c r="D119" s="233"/>
      <c r="E119" s="233"/>
      <c r="F119" s="233"/>
      <c r="G119" s="233"/>
      <c r="H119" s="233"/>
      <c r="I119" s="233"/>
      <c r="J119" s="233"/>
      <c r="K119" s="233"/>
      <c r="L119" s="233"/>
    </row>
    <row r="120" spans="1:12" ht="17.100000000000001" customHeight="1" x14ac:dyDescent="0.25">
      <c r="A120" s="233" t="s">
        <v>232</v>
      </c>
      <c r="B120" s="233"/>
      <c r="C120" s="233"/>
      <c r="D120" s="233"/>
      <c r="E120" s="233"/>
      <c r="F120" s="233"/>
      <c r="G120" s="233"/>
      <c r="H120" s="233"/>
      <c r="I120" s="233"/>
      <c r="J120" s="233"/>
      <c r="K120" s="233"/>
      <c r="L120" s="233"/>
    </row>
    <row r="121" spans="1:12" ht="17.100000000000001" customHeight="1" x14ac:dyDescent="0.25">
      <c r="A121" s="233"/>
      <c r="B121" s="233"/>
      <c r="C121" s="233"/>
      <c r="D121" s="233"/>
      <c r="E121" s="233"/>
      <c r="F121" s="233"/>
      <c r="G121" s="233"/>
      <c r="H121" s="233"/>
      <c r="I121" s="233"/>
      <c r="J121" s="233"/>
      <c r="K121" s="233"/>
      <c r="L121" s="233"/>
    </row>
    <row r="122" spans="1:12" ht="17.100000000000001" customHeight="1" x14ac:dyDescent="0.25">
      <c r="A122" s="233" t="s">
        <v>233</v>
      </c>
      <c r="B122" s="233"/>
      <c r="C122" s="233"/>
      <c r="D122" s="233"/>
      <c r="E122" s="233"/>
      <c r="F122" s="233"/>
      <c r="G122" s="233"/>
      <c r="H122" s="233"/>
      <c r="I122" s="233"/>
      <c r="J122" s="233"/>
      <c r="K122" s="233"/>
      <c r="L122" s="233"/>
    </row>
    <row r="123" spans="1:12" ht="17.100000000000001" customHeight="1" x14ac:dyDescent="0.25">
      <c r="A123" s="233"/>
      <c r="B123" s="233"/>
      <c r="C123" s="233"/>
      <c r="D123" s="233"/>
      <c r="E123" s="233"/>
      <c r="F123" s="233"/>
      <c r="G123" s="233"/>
      <c r="H123" s="233"/>
      <c r="I123" s="233"/>
      <c r="J123" s="233"/>
      <c r="K123" s="233"/>
      <c r="L123" s="233"/>
    </row>
    <row r="124" spans="1:12" ht="17.100000000000001" customHeight="1" x14ac:dyDescent="0.25">
      <c r="A124" s="233" t="s">
        <v>234</v>
      </c>
      <c r="B124" s="233"/>
      <c r="C124" s="233"/>
      <c r="D124" s="233"/>
      <c r="E124" s="233"/>
      <c r="F124" s="233"/>
      <c r="G124" s="233"/>
      <c r="H124" s="233"/>
      <c r="I124" s="233"/>
      <c r="J124" s="233"/>
      <c r="K124" s="233"/>
      <c r="L124" s="233"/>
    </row>
    <row r="125" spans="1:12" ht="17.100000000000001" customHeight="1" x14ac:dyDescent="0.25">
      <c r="A125" s="233"/>
      <c r="B125" s="233"/>
      <c r="C125" s="233"/>
      <c r="D125" s="233"/>
      <c r="E125" s="233"/>
      <c r="F125" s="233"/>
      <c r="G125" s="233"/>
      <c r="H125" s="233"/>
      <c r="I125" s="233"/>
      <c r="J125" s="233"/>
      <c r="K125" s="233"/>
      <c r="L125" s="233"/>
    </row>
    <row r="126" spans="1:12" ht="17.100000000000001" customHeight="1" x14ac:dyDescent="0.25">
      <c r="A126" s="233" t="s">
        <v>235</v>
      </c>
      <c r="B126" s="233"/>
      <c r="C126" s="233"/>
      <c r="D126" s="233"/>
      <c r="E126" s="233"/>
      <c r="F126" s="233"/>
      <c r="G126" s="233"/>
      <c r="H126" s="233"/>
      <c r="I126" s="233"/>
      <c r="J126" s="233"/>
      <c r="K126" s="233"/>
      <c r="L126" s="233"/>
    </row>
  </sheetData>
  <sheetProtection algorithmName="SHA-512" hashValue="go4Vh7+vnAFQgQAeDAgbJ2tvC7YR7plDUkWdq1ZesLQNxUVGLOe7TLkHUMlRqJetMwoC6Bg31PwTRdDDgw/Wpw==" saltValue="T3a/IjbolRzhZ8D1WU8VJA==" spinCount="100000" sheet="1" objects="1" scenarios="1" autoFilter="0"/>
  <mergeCells count="59">
    <mergeCell ref="A1:L1"/>
    <mergeCell ref="A9:L9"/>
    <mergeCell ref="A5:L5"/>
    <mergeCell ref="A71:L71"/>
    <mergeCell ref="A72:L72"/>
    <mergeCell ref="A73:L73"/>
    <mergeCell ref="A74:L74"/>
    <mergeCell ref="A75:L75"/>
    <mergeCell ref="A76:L76"/>
    <mergeCell ref="A77:L77"/>
    <mergeCell ref="A78:L78"/>
    <mergeCell ref="A79:L79"/>
    <mergeCell ref="A80:L80"/>
    <mergeCell ref="A81:L81"/>
    <mergeCell ref="A82:L82"/>
    <mergeCell ref="A83:L83"/>
    <mergeCell ref="A84:L84"/>
    <mergeCell ref="A85:L85"/>
    <mergeCell ref="A86:L86"/>
    <mergeCell ref="A87:L87"/>
    <mergeCell ref="A88:L88"/>
    <mergeCell ref="A89:L89"/>
    <mergeCell ref="A90:L90"/>
    <mergeCell ref="A91:L91"/>
    <mergeCell ref="A92:L92"/>
    <mergeCell ref="A93:L93"/>
    <mergeCell ref="A94:L94"/>
    <mergeCell ref="A95:L95"/>
    <mergeCell ref="A96:L96"/>
    <mergeCell ref="A97:L97"/>
    <mergeCell ref="A98:L98"/>
    <mergeCell ref="A99:L99"/>
    <mergeCell ref="A100:L100"/>
    <mergeCell ref="A101:L101"/>
    <mergeCell ref="A102:L102"/>
    <mergeCell ref="A103:L103"/>
    <mergeCell ref="A104:L104"/>
    <mergeCell ref="A105:L105"/>
    <mergeCell ref="A106:L106"/>
    <mergeCell ref="A107:L107"/>
    <mergeCell ref="A108:L108"/>
    <mergeCell ref="A109:L109"/>
    <mergeCell ref="A110:L110"/>
    <mergeCell ref="A111:L111"/>
    <mergeCell ref="A112:L112"/>
    <mergeCell ref="A113:L113"/>
    <mergeCell ref="A114:L114"/>
    <mergeCell ref="A115:L115"/>
    <mergeCell ref="A116:L116"/>
    <mergeCell ref="A117:L117"/>
    <mergeCell ref="A118:L118"/>
    <mergeCell ref="A119:L119"/>
    <mergeCell ref="A120:L120"/>
    <mergeCell ref="A126:L126"/>
    <mergeCell ref="A121:L121"/>
    <mergeCell ref="A122:L122"/>
    <mergeCell ref="A123:L123"/>
    <mergeCell ref="A124:L124"/>
    <mergeCell ref="A125:L12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8789AA-DFAD-4C3F-BF46-3414A9E4BF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Ordem de serviços</vt:lpstr>
      <vt:lpstr>Buscar Nota</vt:lpstr>
      <vt:lpstr>Buscar Horas</vt:lpstr>
      <vt:lpstr>Buscar Histórico</vt:lpstr>
      <vt:lpstr>'Ordem de serviços'!Login_SAP</vt:lpstr>
      <vt:lpstr>Senha_SAP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tiago.anjos@navistar.com.br</dc:creator>
  <cp:keywords/>
  <dc:description/>
  <cp:lastModifiedBy>Tiago Victor dos Anjos</cp:lastModifiedBy>
  <cp:revision/>
  <cp:lastPrinted>2023-06-27T20:18:03Z</cp:lastPrinted>
  <dcterms:created xsi:type="dcterms:W3CDTF">2019-10-19T21:08:27Z</dcterms:created>
  <dcterms:modified xsi:type="dcterms:W3CDTF">2023-06-30T20:18:22Z</dcterms:modified>
  <cp:category/>
  <cp:contentStatus/>
</cp:coreProperties>
</file>